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monkey/"/>
    </mc:Choice>
  </mc:AlternateContent>
  <xr:revisionPtr revIDLastSave="6" documentId="13_ncr:1_{378C766C-0F49-4183-BC8F-D02AB27895CC}" xr6:coauthVersionLast="46" xr6:coauthVersionMax="46" xr10:uidLastSave="{70A9BE62-EEE9-4AC5-BCFC-6557DF1F1740}"/>
  <bookViews>
    <workbookView xWindow="-108" yWindow="-108" windowWidth="23256" windowHeight="12576" activeTab="4" xr2:uid="{3D93E8D2-97D8-46E6-B674-936DA03FE03C}"/>
  </bookViews>
  <sheets>
    <sheet name="df_headers" sheetId="1" r:id="rId1"/>
    <sheet name="df_edited_headers" sheetId="2" r:id="rId2"/>
    <sheet name="Sheet1" sheetId="5" r:id="rId3"/>
    <sheet name="fof_headers" sheetId="3" r:id="rId4"/>
    <sheet name="fof_edited_headers" sheetId="4" r:id="rId5"/>
  </sheets>
  <externalReferences>
    <externalReference r:id="rId6"/>
  </externalReferences>
  <definedNames>
    <definedName name="_xlnm._FilterDatabase" localSheetId="2" hidden="1">Sheet1!$A$1:$A$17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2" i="2"/>
  <c r="A22" i="3"/>
  <c r="A23" i="3" s="1"/>
  <c r="A24" i="3" s="1"/>
  <c r="A25" i="3" s="1"/>
  <c r="A26" i="3" s="1"/>
  <c r="A27" i="3" s="1"/>
  <c r="A28" i="3" s="1"/>
  <c r="A30" i="3"/>
  <c r="A31" i="3" s="1"/>
  <c r="A32" i="3" s="1"/>
  <c r="A33" i="3" s="1"/>
  <c r="A35" i="3"/>
  <c r="A36" i="3" s="1"/>
  <c r="A37" i="3" s="1"/>
  <c r="B22" i="3"/>
  <c r="B23" i="3" s="1"/>
  <c r="B24" i="3" s="1"/>
  <c r="B25" i="3" s="1"/>
  <c r="B26" i="3" s="1"/>
  <c r="B27" i="3" s="1"/>
  <c r="B28" i="3" s="1"/>
  <c r="B30" i="3"/>
  <c r="B31" i="3" s="1"/>
  <c r="B32" i="3" s="1"/>
  <c r="B33" i="3" s="1"/>
  <c r="B35" i="3"/>
  <c r="B36" i="3"/>
  <c r="B37" i="3" s="1"/>
  <c r="A23" i="1" l="1"/>
  <c r="A24" i="1" s="1"/>
  <c r="A25" i="1" s="1"/>
  <c r="A26" i="1" s="1"/>
  <c r="A27" i="1" s="1"/>
  <c r="A28" i="1" s="1"/>
  <c r="A29" i="1" s="1"/>
  <c r="A31" i="1"/>
  <c r="A32" i="1" s="1"/>
  <c r="A33" i="1" s="1"/>
  <c r="A34" i="1" s="1"/>
  <c r="A36" i="1"/>
  <c r="A37" i="1" s="1"/>
  <c r="A38" i="1" s="1"/>
  <c r="B23" i="1"/>
  <c r="B24" i="1" s="1"/>
  <c r="B25" i="1" s="1"/>
  <c r="B26" i="1" s="1"/>
  <c r="B27" i="1" s="1"/>
  <c r="B28" i="1" s="1"/>
  <c r="B29" i="1" s="1"/>
  <c r="B31" i="1"/>
  <c r="B32" i="1" s="1"/>
  <c r="B33" i="1" s="1"/>
  <c r="B34" i="1" s="1"/>
  <c r="B36" i="1"/>
  <c r="B37" i="1" s="1"/>
  <c r="B38" i="1" s="1"/>
</calcChain>
</file>

<file path=xl/sharedStrings.xml><?xml version="1.0" encoding="utf-8"?>
<sst xmlns="http://schemas.openxmlformats.org/spreadsheetml/2006/main" count="457" uniqueCount="139">
  <si>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</si>
  <si>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</si>
  <si>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</si>
  <si>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</si>
  <si>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</si>
  <si>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</si>
  <si>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</si>
  <si>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</si>
  <si>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</si>
  <si>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Vehicle Name</t>
  </si>
  <si>
    <t>Open-Ended Response</t>
  </si>
  <si>
    <t>RaisedCapital</t>
  </si>
  <si>
    <t>Response</t>
  </si>
  <si>
    <t>WhyNo</t>
  </si>
  <si>
    <t>Other (please specify)</t>
  </si>
  <si>
    <t>What was the total amount of capital raised for this vehicle in 2019? (millions)</t>
  </si>
  <si>
    <t>Capital Raised</t>
  </si>
  <si>
    <t>How much capital was raised for this vehicle in 2019 from Institutional Investors by investor type? (millions)Please ensure that the total values provided match the values you entered in Q3</t>
  </si>
  <si>
    <t>Pension funds</t>
  </si>
  <si>
    <t>Insurance companies</t>
  </si>
  <si>
    <t>Sovereign wealth fund</t>
  </si>
  <si>
    <t>Government institutions</t>
  </si>
  <si>
    <t>Charities, foundations, non-profit organisations</t>
  </si>
  <si>
    <t>Fund of funds</t>
  </si>
  <si>
    <t>High net worth individulas / Family offices</t>
  </si>
  <si>
    <t>How much capital was raised for this vehicle in 2019 from Institutional Investors by investor domicile? (millions)Please ensure that the total values provided match the values you entered in Q3 - total capital raised</t>
  </si>
  <si>
    <t>Europe</t>
  </si>
  <si>
    <t>Asia Pacific</t>
  </si>
  <si>
    <t>North America</t>
  </si>
  <si>
    <t>South America</t>
  </si>
  <si>
    <t>Africa</t>
  </si>
  <si>
    <t>What percentage of the total capital was raised via...?Total figure should sum up to 100%</t>
  </si>
  <si>
    <t>Placement agent (%)</t>
  </si>
  <si>
    <t>Investors contacting you directly (%)</t>
  </si>
  <si>
    <t>Your own direct relationship with investors (%)</t>
  </si>
  <si>
    <t>Other (%)</t>
  </si>
  <si>
    <t>How do you expect capital raising activities to develop for non-listed real estate funds over the next two years?</t>
  </si>
  <si>
    <t>Would you like the name of your company to be included in the list of participants?</t>
  </si>
  <si>
    <t>question</t>
  </si>
  <si>
    <t>question_code</t>
  </si>
  <si>
    <t>answer</t>
  </si>
  <si>
    <t>answer_code</t>
  </si>
  <si>
    <t>format</t>
  </si>
  <si>
    <t>collectorId</t>
  </si>
  <si>
    <t>respondentId</t>
  </si>
  <si>
    <t>dateStarted</t>
  </si>
  <si>
    <t>dateEnded</t>
  </si>
  <si>
    <t>ipAddress</t>
  </si>
  <si>
    <t>email</t>
  </si>
  <si>
    <t>firstname</t>
  </si>
  <si>
    <t>lastname</t>
  </si>
  <si>
    <t>customData1</t>
  </si>
  <si>
    <t>qfundname</t>
  </si>
  <si>
    <t>q1</t>
  </si>
  <si>
    <t>q2</t>
  </si>
  <si>
    <t>q2other</t>
  </si>
  <si>
    <t>q3</t>
  </si>
  <si>
    <t>q4</t>
  </si>
  <si>
    <t>q5</t>
  </si>
  <si>
    <t>q6</t>
  </si>
  <si>
    <t>q7</t>
  </si>
  <si>
    <t>q8</t>
  </si>
  <si>
    <t>q4_1</t>
  </si>
  <si>
    <t>q4_2</t>
  </si>
  <si>
    <t>q4_3</t>
  </si>
  <si>
    <t>q4_4</t>
  </si>
  <si>
    <t>q4_5</t>
  </si>
  <si>
    <t>q4_6</t>
  </si>
  <si>
    <t>q4_7</t>
  </si>
  <si>
    <t>q4_8</t>
  </si>
  <si>
    <t>q5_1</t>
  </si>
  <si>
    <t>q5_2</t>
  </si>
  <si>
    <t>q5_3</t>
  </si>
  <si>
    <t>q5_4</t>
  </si>
  <si>
    <t>q5_5</t>
  </si>
  <si>
    <t>q6_1</t>
  </si>
  <si>
    <t>q6_2</t>
  </si>
  <si>
    <t>q6_3</t>
  </si>
  <si>
    <t>q6_4</t>
  </si>
  <si>
    <t>TEXT</t>
  </si>
  <si>
    <t>currency</t>
  </si>
  <si>
    <t>194.143.182.29</t>
  </si>
  <si>
    <t>Core Mortgage Commingled Fund</t>
  </si>
  <si>
    <t>Yes</t>
  </si>
  <si>
    <t>Increase</t>
  </si>
  <si>
    <t>Separate Account #3</t>
  </si>
  <si>
    <t>Separate Account #1</t>
  </si>
  <si>
    <t>Separate Account #2</t>
  </si>
  <si>
    <t>85.115.37.180</t>
  </si>
  <si>
    <t>SCOR Real Estate Loans IV</t>
  </si>
  <si>
    <t>134.159.69.4</t>
  </si>
  <si>
    <t>GLOBAL REAL ESTATE DEBT PARTNERS – FUND II (UK)</t>
  </si>
  <si>
    <t>161.151.152.150</t>
  </si>
  <si>
    <t>COMOSA</t>
  </si>
  <si>
    <t>No</t>
  </si>
  <si>
    <t>46.34.3.7</t>
  </si>
  <si>
    <t>Pluto Finance VII</t>
  </si>
  <si>
    <t>Pluto Finance VI</t>
  </si>
  <si>
    <t>80.169.207.154</t>
  </si>
  <si>
    <t>AgFe RESDF Fund II</t>
  </si>
  <si>
    <t>Investor delays</t>
  </si>
  <si>
    <t>84.207.200.98</t>
  </si>
  <si>
    <t>CREF 3</t>
  </si>
  <si>
    <t>165.225.81.107</t>
  </si>
  <si>
    <t>Octopus Commercial Real Estate Debt Fund III</t>
  </si>
  <si>
    <t>We commenced fundraising in September</t>
  </si>
  <si>
    <t>217.10.134.222</t>
  </si>
  <si>
    <t>DRC European Real Estate Debt Fund IV</t>
  </si>
  <si>
    <t>Did your company raise capital for this vehicle in 2019?</t>
  </si>
  <si>
    <t>Please state the reason why?</t>
  </si>
  <si>
    <t>Sovereign wealth funds</t>
  </si>
  <si>
    <t>High net worth individuals / Family offices</t>
  </si>
  <si>
    <t>Other</t>
  </si>
  <si>
    <t>How much capital was raised for this vehicle in 2018 from Institutional Investors by investor domicile? (millions)Please ensure that the total values provided match the values you entered in Q3</t>
  </si>
  <si>
    <t>195.191.225.4</t>
  </si>
  <si>
    <t>HI-Immobilien-Multi Manager Fonds III</t>
  </si>
  <si>
    <t>%</t>
  </si>
  <si>
    <t>165.225.72.233</t>
  </si>
  <si>
    <t>PMM Global V</t>
  </si>
  <si>
    <t>No change</t>
  </si>
  <si>
    <t>asd</t>
  </si>
  <si>
    <t>Vehicle ID</t>
  </si>
  <si>
    <t>universeFundID</t>
  </si>
  <si>
    <t>keep</t>
  </si>
  <si>
    <t>yes</t>
  </si>
  <si>
    <t>no</t>
  </si>
  <si>
    <t>Loan Strategy</t>
  </si>
  <si>
    <t>loan_strategy</t>
  </si>
  <si>
    <t>qtarget_regional_strategy</t>
  </si>
  <si>
    <t>qfundstructure</t>
  </si>
  <si>
    <t>first_closing_year</t>
  </si>
  <si>
    <t>qcurrency</t>
  </si>
  <si>
    <t>Currency</t>
  </si>
  <si>
    <t>Target Regional Strategy</t>
  </si>
  <si>
    <t>Vehicle Structure</t>
  </si>
  <si>
    <t>year of first closing</t>
  </si>
  <si>
    <t>qstyle</t>
  </si>
  <si>
    <t>Style</t>
  </si>
  <si>
    <t>Vintage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</si>
</sst>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0"/>
      <color theme="0"/>
      <name val="Arial"/>
      <family val="2"/>
    </font>
    <font>
      <b/>
      <sz val="11"/>
      <color rgb="FF333333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2324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 style="thick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7" fillId="0" borderId="0"/>
  </cellStyleXfs>
  <cellXfs count="15">
    <xf numFmtId="0" fontId="0" fillId="0" borderId="0" xfId="0"/>
    <xf numFmtId="0" fontId="2" fillId="2" borderId="1" xfId="1" applyFont="1" applyFill="1" applyBorder="1"/>
    <xf numFmtId="0" fontId="3" fillId="3" borderId="2" xfId="0" applyFont="1" applyFill="1" applyBorder="1"/>
    <xf numFmtId="0" fontId="4" fillId="2" borderId="1" xfId="1" applyFont="1" applyFill="1" applyBorder="1"/>
    <xf numFmtId="0" fontId="2" fillId="2" borderId="3" xfId="1" applyFont="1" applyFill="1" applyBorder="1"/>
    <xf numFmtId="0" fontId="2" fillId="2" borderId="4" xfId="1" applyFont="1" applyFill="1" applyBorder="1"/>
    <xf numFmtId="0" fontId="1" fillId="0" borderId="0" xfId="1"/>
    <xf numFmtId="0" fontId="6" fillId="0" borderId="0" xfId="2"/>
    <xf numFmtId="164" fontId="1" fillId="0" borderId="0" xfId="1" applyNumberFormat="1"/>
    <xf numFmtId="0" fontId="1" fillId="4" borderId="0" xfId="1" applyFill="1"/>
    <xf numFmtId="0" fontId="0" fillId="5" borderId="2" xfId="0" applyFill="1" applyBorder="1" applyAlignment="1">
      <alignment horizontal="left"/>
    </xf>
    <xf numFmtId="0" fontId="8" fillId="6" borderId="5" xfId="0" applyFont="1" applyFill="1" applyBorder="1" applyAlignment="1">
      <alignment horizontal="left"/>
    </xf>
    <xf numFmtId="0" fontId="1" fillId="7" borderId="0" xfId="1" applyFill="1"/>
    <xf numFmtId="164" fontId="1" fillId="7" borderId="0" xfId="1" applyNumberFormat="1" applyFill="1"/>
    <xf numFmtId="0" fontId="6" fillId="7" borderId="0" xfId="2" applyFill="1"/>
  </cellXfs>
  <cellStyles count="4">
    <cellStyle name="Normal" xfId="0" builtinId="0"/>
    <cellStyle name="Normal 2" xfId="2" xr:uid="{11A2F0F9-4FF2-45CC-B87A-31B35EBE1BCB}"/>
    <cellStyle name="Normal 6" xfId="3" xr:uid="{85599F8C-4FCA-4E41-8267-64EBD50745EE}"/>
    <cellStyle name="Normal 9" xfId="1" xr:uid="{48FEBA1C-19D5-4A6E-B9D0-CD0599D03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pitalRaising2020-SurveyMonkey%20-%20ANALYSIS_edi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TableofContents"/>
      <sheetName val="Figure(34)"/>
      <sheetName val="Figure(35x)"/>
      <sheetName val="Figure(36x)"/>
      <sheetName val="Figure(37x)"/>
      <sheetName val="Figure(40)"/>
      <sheetName val="Figure(41)"/>
      <sheetName val="Figure(42)"/>
      <sheetName val="Figure(43)"/>
      <sheetName val="Figure(35)"/>
      <sheetName val="Figure(36)"/>
      <sheetName val="Figure(37)"/>
      <sheetName val="Figure(38)"/>
      <sheetName val="Figure(39)"/>
      <sheetName val="Sheet1"/>
      <sheetName val="DebtFundUniverse"/>
      <sheetName val="DFsmonkeyRaw"/>
      <sheetName val="DFsmonkeyCompl"/>
      <sheetName val="DFanalysis"/>
      <sheetName val="FundOfFUndsUniverse"/>
      <sheetName val="FoFsmonkeyRaw"/>
      <sheetName val="FoFsmonkeyCompl"/>
      <sheetName val="FoFsanalysis"/>
      <sheetName val="Xrate31.12.18"/>
      <sheetName val="CapitalRaising2020-SurveyMonk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4E8A-0D03-4CA4-B3B0-EB2E0D5D96EC}">
  <dimension ref="A1:E40"/>
  <sheetViews>
    <sheetView workbookViewId="0">
      <selection activeCell="D16" sqref="D16"/>
    </sheetView>
  </sheetViews>
  <sheetFormatPr defaultRowHeight="14.4" x14ac:dyDescent="0.3"/>
  <cols>
    <col min="1" max="2" width="37.44140625" customWidth="1"/>
    <col min="3" max="3" width="41.21875" customWidth="1"/>
    <col min="4" max="4" width="18.44140625" customWidth="1"/>
    <col min="5" max="5" width="19.77734375" customWidth="1"/>
  </cols>
  <sheetData>
    <row r="1" spans="1:5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3">
      <c r="A2" s="1" t="s">
        <v>0</v>
      </c>
      <c r="B2" s="1"/>
      <c r="C2" s="1"/>
      <c r="D2" t="s">
        <v>44</v>
      </c>
      <c r="E2" s="6" t="s">
        <v>79</v>
      </c>
    </row>
    <row r="3" spans="1:5" x14ac:dyDescent="0.3">
      <c r="A3" s="1" t="s">
        <v>1</v>
      </c>
      <c r="B3" s="1"/>
      <c r="C3" s="1"/>
      <c r="D3" t="s">
        <v>43</v>
      </c>
      <c r="E3" s="6" t="s">
        <v>79</v>
      </c>
    </row>
    <row r="4" spans="1:5" x14ac:dyDescent="0.3">
      <c r="A4" s="1" t="s">
        <v>2</v>
      </c>
      <c r="B4" s="1"/>
      <c r="C4" s="1"/>
      <c r="D4" t="s">
        <v>45</v>
      </c>
      <c r="E4" s="6" t="s">
        <v>79</v>
      </c>
    </row>
    <row r="5" spans="1:5" x14ac:dyDescent="0.3">
      <c r="A5" s="1" t="s">
        <v>3</v>
      </c>
      <c r="B5" s="1"/>
      <c r="C5" s="1"/>
      <c r="D5" t="s">
        <v>46</v>
      </c>
      <c r="E5" s="6" t="s">
        <v>79</v>
      </c>
    </row>
    <row r="6" spans="1:5" x14ac:dyDescent="0.3">
      <c r="A6" s="1" t="s">
        <v>4</v>
      </c>
      <c r="B6" s="1"/>
      <c r="C6" s="1"/>
      <c r="D6" t="s">
        <v>47</v>
      </c>
      <c r="E6" s="6" t="s">
        <v>79</v>
      </c>
    </row>
    <row r="7" spans="1:5" x14ac:dyDescent="0.3">
      <c r="A7" s="1" t="s">
        <v>5</v>
      </c>
      <c r="B7" s="1"/>
      <c r="C7" s="1"/>
      <c r="D7" t="s">
        <v>48</v>
      </c>
      <c r="E7" s="6" t="s">
        <v>79</v>
      </c>
    </row>
    <row r="8" spans="1:5" x14ac:dyDescent="0.3">
      <c r="A8" s="1" t="s">
        <v>6</v>
      </c>
      <c r="B8" s="1"/>
      <c r="C8" s="1"/>
      <c r="D8" t="s">
        <v>49</v>
      </c>
      <c r="E8" s="6" t="s">
        <v>79</v>
      </c>
    </row>
    <row r="9" spans="1:5" x14ac:dyDescent="0.3">
      <c r="A9" s="1" t="s">
        <v>7</v>
      </c>
      <c r="B9" s="1"/>
      <c r="C9" s="1"/>
      <c r="D9" t="s">
        <v>50</v>
      </c>
      <c r="E9" s="6" t="s">
        <v>79</v>
      </c>
    </row>
    <row r="10" spans="1:5" x14ac:dyDescent="0.3">
      <c r="A10" s="1" t="s">
        <v>8</v>
      </c>
      <c r="B10" s="1"/>
      <c r="C10" s="1"/>
      <c r="D10" t="s">
        <v>51</v>
      </c>
      <c r="E10" s="6" t="s">
        <v>79</v>
      </c>
    </row>
    <row r="11" spans="1:5" x14ac:dyDescent="0.3">
      <c r="A11" s="1" t="s">
        <v>9</v>
      </c>
      <c r="B11" s="1"/>
      <c r="C11" s="1" t="s">
        <v>10</v>
      </c>
      <c r="D11" t="s">
        <v>52</v>
      </c>
      <c r="E11" s="6" t="s">
        <v>79</v>
      </c>
    </row>
    <row r="12" spans="1:5" x14ac:dyDescent="0.3">
      <c r="A12" s="1" t="s">
        <v>121</v>
      </c>
      <c r="B12" s="1"/>
      <c r="C12" s="1"/>
      <c r="D12" t="s">
        <v>122</v>
      </c>
      <c r="E12" s="6" t="s">
        <v>79</v>
      </c>
    </row>
    <row r="13" spans="1:5" x14ac:dyDescent="0.3">
      <c r="A13" s="1" t="s">
        <v>132</v>
      </c>
      <c r="B13" s="1"/>
      <c r="C13" s="1"/>
      <c r="D13" t="s">
        <v>131</v>
      </c>
      <c r="E13" s="6" t="s">
        <v>79</v>
      </c>
    </row>
    <row r="14" spans="1:5" x14ac:dyDescent="0.3">
      <c r="A14" s="1" t="s">
        <v>126</v>
      </c>
      <c r="B14" s="1"/>
      <c r="C14" s="1"/>
      <c r="D14" t="s">
        <v>127</v>
      </c>
      <c r="E14" s="6" t="s">
        <v>79</v>
      </c>
    </row>
    <row r="15" spans="1:5" x14ac:dyDescent="0.3">
      <c r="A15" s="1" t="s">
        <v>133</v>
      </c>
      <c r="B15" s="1"/>
      <c r="C15" s="1"/>
      <c r="D15" t="s">
        <v>128</v>
      </c>
      <c r="E15" s="6" t="s">
        <v>79</v>
      </c>
    </row>
    <row r="16" spans="1:5" x14ac:dyDescent="0.3">
      <c r="A16" s="1" t="s">
        <v>134</v>
      </c>
      <c r="B16" s="1"/>
      <c r="C16" s="1"/>
      <c r="D16" t="s">
        <v>129</v>
      </c>
      <c r="E16" s="6" t="s">
        <v>79</v>
      </c>
    </row>
    <row r="17" spans="1:5" x14ac:dyDescent="0.3">
      <c r="A17" s="1" t="s">
        <v>135</v>
      </c>
      <c r="B17" s="1"/>
      <c r="C17" s="1"/>
      <c r="D17" t="s">
        <v>130</v>
      </c>
      <c r="E17" s="6" t="s">
        <v>79</v>
      </c>
    </row>
    <row r="18" spans="1:5" ht="15" thickBot="1" x14ac:dyDescent="0.35">
      <c r="A18" s="1" t="s">
        <v>11</v>
      </c>
      <c r="B18" s="1" t="s">
        <v>53</v>
      </c>
      <c r="C18" s="1" t="s">
        <v>12</v>
      </c>
      <c r="D18" s="4" t="s">
        <v>53</v>
      </c>
      <c r="E18" s="6" t="s">
        <v>79</v>
      </c>
    </row>
    <row r="19" spans="1:5" ht="15.6" thickTop="1" thickBot="1" x14ac:dyDescent="0.35">
      <c r="A19" s="2" t="s">
        <v>13</v>
      </c>
      <c r="B19" t="s">
        <v>54</v>
      </c>
      <c r="C19" s="1" t="s">
        <v>12</v>
      </c>
      <c r="D19" t="s">
        <v>54</v>
      </c>
      <c r="E19" s="6" t="s">
        <v>79</v>
      </c>
    </row>
    <row r="20" spans="1:5" ht="15" thickTop="1" x14ac:dyDescent="0.3">
      <c r="A20" s="1" t="s">
        <v>14</v>
      </c>
      <c r="B20" s="1"/>
      <c r="C20" s="1" t="s">
        <v>14</v>
      </c>
      <c r="D20" s="4" t="s">
        <v>55</v>
      </c>
      <c r="E20" s="6" t="s">
        <v>79</v>
      </c>
    </row>
    <row r="21" spans="1:5" x14ac:dyDescent="0.3">
      <c r="A21" s="1" t="s">
        <v>15</v>
      </c>
      <c r="B21" s="1" t="s">
        <v>56</v>
      </c>
      <c r="C21" s="3" t="s">
        <v>16</v>
      </c>
      <c r="D21" t="s">
        <v>56</v>
      </c>
      <c r="E21" s="6" t="s">
        <v>80</v>
      </c>
    </row>
    <row r="22" spans="1:5" x14ac:dyDescent="0.3">
      <c r="A22" s="1" t="s">
        <v>17</v>
      </c>
      <c r="B22" s="1" t="s">
        <v>57</v>
      </c>
      <c r="C22" s="1" t="s">
        <v>18</v>
      </c>
      <c r="D22" s="5" t="s">
        <v>62</v>
      </c>
      <c r="E22" s="6" t="s">
        <v>80</v>
      </c>
    </row>
    <row r="23" spans="1:5" x14ac:dyDescent="0.3">
      <c r="A23" s="1" t="str">
        <f t="shared" ref="A23:A29" si="0">A22</f>
        <v>How much capital was raised for this vehicle in 2019 from Institutional Investors by investor type? (millions)Please ensure that the total values provided match the values you entered in Q3</v>
      </c>
      <c r="B23" s="1" t="str">
        <f t="shared" ref="B23:B29" si="1">B22</f>
        <v>q4</v>
      </c>
      <c r="C23" s="1" t="s">
        <v>19</v>
      </c>
      <c r="D23" s="5" t="s">
        <v>63</v>
      </c>
      <c r="E23" s="6" t="s">
        <v>80</v>
      </c>
    </row>
    <row r="24" spans="1:5" x14ac:dyDescent="0.3">
      <c r="A24" s="1" t="str">
        <f t="shared" si="0"/>
        <v>How much capital was raised for this vehicle in 2019 from Institutional Investors by investor type? (millions)Please ensure that the total values provided match the values you entered in Q3</v>
      </c>
      <c r="B24" s="1" t="str">
        <f t="shared" si="1"/>
        <v>q4</v>
      </c>
      <c r="C24" s="1" t="s">
        <v>20</v>
      </c>
      <c r="D24" s="5" t="s">
        <v>64</v>
      </c>
      <c r="E24" s="6" t="s">
        <v>80</v>
      </c>
    </row>
    <row r="25" spans="1:5" x14ac:dyDescent="0.3">
      <c r="A25" s="1" t="str">
        <f t="shared" si="0"/>
        <v>How much capital was raised for this vehicle in 2019 from Institutional Investors by investor type? (millions)Please ensure that the total values provided match the values you entered in Q3</v>
      </c>
      <c r="B25" s="1" t="str">
        <f t="shared" si="1"/>
        <v>q4</v>
      </c>
      <c r="C25" s="1" t="s">
        <v>21</v>
      </c>
      <c r="D25" s="5" t="s">
        <v>65</v>
      </c>
      <c r="E25" s="6" t="s">
        <v>80</v>
      </c>
    </row>
    <row r="26" spans="1:5" x14ac:dyDescent="0.3">
      <c r="A26" s="1" t="str">
        <f t="shared" si="0"/>
        <v>How much capital was raised for this vehicle in 2019 from Institutional Investors by investor type? (millions)Please ensure that the total values provided match the values you entered in Q3</v>
      </c>
      <c r="B26" s="1" t="str">
        <f t="shared" si="1"/>
        <v>q4</v>
      </c>
      <c r="C26" s="1" t="s">
        <v>22</v>
      </c>
      <c r="D26" s="5" t="s">
        <v>66</v>
      </c>
      <c r="E26" s="6" t="s">
        <v>80</v>
      </c>
    </row>
    <row r="27" spans="1:5" x14ac:dyDescent="0.3">
      <c r="A27" s="1" t="str">
        <f t="shared" si="0"/>
        <v>How much capital was raised for this vehicle in 2019 from Institutional Investors by investor type? (millions)Please ensure that the total values provided match the values you entered in Q3</v>
      </c>
      <c r="B27" s="1" t="str">
        <f t="shared" si="1"/>
        <v>q4</v>
      </c>
      <c r="C27" s="1" t="s">
        <v>23</v>
      </c>
      <c r="D27" s="5" t="s">
        <v>67</v>
      </c>
      <c r="E27" s="6" t="s">
        <v>80</v>
      </c>
    </row>
    <row r="28" spans="1:5" x14ac:dyDescent="0.3">
      <c r="A28" s="1" t="str">
        <f t="shared" si="0"/>
        <v>How much capital was raised for this vehicle in 2019 from Institutional Investors by investor type? (millions)Please ensure that the total values provided match the values you entered in Q3</v>
      </c>
      <c r="B28" s="1" t="str">
        <f t="shared" si="1"/>
        <v>q4</v>
      </c>
      <c r="C28" s="1" t="s">
        <v>24</v>
      </c>
      <c r="D28" s="5" t="s">
        <v>68</v>
      </c>
      <c r="E28" s="6" t="s">
        <v>80</v>
      </c>
    </row>
    <row r="29" spans="1:5" x14ac:dyDescent="0.3">
      <c r="A29" s="1" t="str">
        <f t="shared" si="0"/>
        <v>How much capital was raised for this vehicle in 2019 from Institutional Investors by investor type? (millions)Please ensure that the total values provided match the values you entered in Q3</v>
      </c>
      <c r="B29" s="1" t="str">
        <f t="shared" si="1"/>
        <v>q4</v>
      </c>
      <c r="C29" s="1" t="s">
        <v>14</v>
      </c>
      <c r="D29" s="5" t="s">
        <v>69</v>
      </c>
      <c r="E29" s="6" t="s">
        <v>80</v>
      </c>
    </row>
    <row r="30" spans="1:5" x14ac:dyDescent="0.3">
      <c r="A30" s="1" t="s">
        <v>25</v>
      </c>
      <c r="B30" s="1" t="s">
        <v>58</v>
      </c>
      <c r="C30" s="1" t="s">
        <v>26</v>
      </c>
      <c r="D30" s="5" t="s">
        <v>70</v>
      </c>
      <c r="E30" s="6" t="s">
        <v>80</v>
      </c>
    </row>
    <row r="31" spans="1:5" x14ac:dyDescent="0.3">
      <c r="A31" s="1" t="str">
        <f t="shared" ref="A31:A34" si="2">A30</f>
        <v>How much capital was raised for this vehicle in 2019 from Institutional Investors by investor domicile? (millions)Please ensure that the total values provided match the values you entered in Q3 - total capital raised</v>
      </c>
      <c r="B31" s="1" t="str">
        <f t="shared" ref="B31:B34" si="3">B30</f>
        <v>q5</v>
      </c>
      <c r="C31" s="1" t="s">
        <v>27</v>
      </c>
      <c r="D31" s="5" t="s">
        <v>71</v>
      </c>
      <c r="E31" s="6" t="s">
        <v>80</v>
      </c>
    </row>
    <row r="32" spans="1:5" x14ac:dyDescent="0.3">
      <c r="A32" s="1" t="str">
        <f t="shared" si="2"/>
        <v>How much capital was raised for this vehicle in 2019 from Institutional Investors by investor domicile? (millions)Please ensure that the total values provided match the values you entered in Q3 - total capital raised</v>
      </c>
      <c r="B32" s="1" t="str">
        <f t="shared" si="3"/>
        <v>q5</v>
      </c>
      <c r="C32" s="1" t="s">
        <v>28</v>
      </c>
      <c r="D32" s="5" t="s">
        <v>72</v>
      </c>
      <c r="E32" s="6" t="s">
        <v>80</v>
      </c>
    </row>
    <row r="33" spans="1:5" x14ac:dyDescent="0.3">
      <c r="A33" s="1" t="str">
        <f t="shared" si="2"/>
        <v>How much capital was raised for this vehicle in 2019 from Institutional Investors by investor domicile? (millions)Please ensure that the total values provided match the values you entered in Q3 - total capital raised</v>
      </c>
      <c r="B33" s="1" t="str">
        <f t="shared" si="3"/>
        <v>q5</v>
      </c>
      <c r="C33" s="1" t="s">
        <v>29</v>
      </c>
      <c r="D33" s="5" t="s">
        <v>73</v>
      </c>
      <c r="E33" s="6" t="s">
        <v>80</v>
      </c>
    </row>
    <row r="34" spans="1:5" x14ac:dyDescent="0.3">
      <c r="A34" s="1" t="str">
        <f t="shared" si="2"/>
        <v>How much capital was raised for this vehicle in 2019 from Institutional Investors by investor domicile? (millions)Please ensure that the total values provided match the values you entered in Q3 - total capital raised</v>
      </c>
      <c r="B34" s="1" t="str">
        <f t="shared" si="3"/>
        <v>q5</v>
      </c>
      <c r="C34" s="1" t="s">
        <v>30</v>
      </c>
      <c r="D34" s="5" t="s">
        <v>74</v>
      </c>
      <c r="E34" s="6" t="s">
        <v>80</v>
      </c>
    </row>
    <row r="35" spans="1:5" x14ac:dyDescent="0.3">
      <c r="A35" s="1" t="s">
        <v>31</v>
      </c>
      <c r="B35" s="1" t="s">
        <v>59</v>
      </c>
      <c r="C35" s="1" t="s">
        <v>32</v>
      </c>
      <c r="D35" s="5" t="s">
        <v>75</v>
      </c>
      <c r="E35" s="6" t="s">
        <v>116</v>
      </c>
    </row>
    <row r="36" spans="1:5" x14ac:dyDescent="0.3">
      <c r="A36" s="1" t="str">
        <f t="shared" ref="A36:A38" si="4">A35</f>
        <v>What percentage of the total capital was raised via...?Total figure should sum up to 100%</v>
      </c>
      <c r="B36" s="1" t="str">
        <f t="shared" ref="B36:B38" si="5">B35</f>
        <v>q6</v>
      </c>
      <c r="C36" s="1" t="s">
        <v>33</v>
      </c>
      <c r="D36" s="5" t="s">
        <v>76</v>
      </c>
      <c r="E36" s="6" t="s">
        <v>116</v>
      </c>
    </row>
    <row r="37" spans="1:5" x14ac:dyDescent="0.3">
      <c r="A37" s="1" t="str">
        <f t="shared" si="4"/>
        <v>What percentage of the total capital was raised via...?Total figure should sum up to 100%</v>
      </c>
      <c r="B37" s="1" t="str">
        <f t="shared" si="5"/>
        <v>q6</v>
      </c>
      <c r="C37" s="1" t="s">
        <v>34</v>
      </c>
      <c r="D37" s="5" t="s">
        <v>77</v>
      </c>
      <c r="E37" s="6" t="s">
        <v>116</v>
      </c>
    </row>
    <row r="38" spans="1:5" x14ac:dyDescent="0.3">
      <c r="A38" s="1" t="str">
        <f t="shared" si="4"/>
        <v>What percentage of the total capital was raised via...?Total figure should sum up to 100%</v>
      </c>
      <c r="B38" s="1" t="str">
        <f t="shared" si="5"/>
        <v>q6</v>
      </c>
      <c r="C38" s="1" t="s">
        <v>35</v>
      </c>
      <c r="D38" s="5" t="s">
        <v>78</v>
      </c>
      <c r="E38" s="6" t="s">
        <v>116</v>
      </c>
    </row>
    <row r="39" spans="1:5" x14ac:dyDescent="0.3">
      <c r="A39" s="1" t="s">
        <v>36</v>
      </c>
      <c r="B39" s="1" t="s">
        <v>60</v>
      </c>
      <c r="C39" s="1" t="s">
        <v>12</v>
      </c>
      <c r="D39" s="5" t="s">
        <v>60</v>
      </c>
      <c r="E39" s="6" t="s">
        <v>79</v>
      </c>
    </row>
    <row r="40" spans="1:5" x14ac:dyDescent="0.3">
      <c r="A40" s="1" t="s">
        <v>37</v>
      </c>
      <c r="B40" s="1" t="s">
        <v>61</v>
      </c>
      <c r="C40" s="1" t="s">
        <v>12</v>
      </c>
      <c r="D40" s="5" t="s">
        <v>61</v>
      </c>
      <c r="E40" s="6" t="s">
        <v>79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6826-77C6-477A-B706-C3D3C6205E61}">
  <sheetPr>
    <tabColor rgb="FF002060"/>
  </sheetPr>
  <dimension ref="A1:AN14"/>
  <sheetViews>
    <sheetView showGridLines="0" topLeftCell="H1" zoomScale="80" zoomScaleNormal="80" workbookViewId="0">
      <selection activeCell="M1" sqref="M1:Q1"/>
    </sheetView>
  </sheetViews>
  <sheetFormatPr defaultColWidth="9.109375" defaultRowHeight="13.2" x14ac:dyDescent="0.25"/>
  <cols>
    <col min="1" max="1" width="9.109375" style="7"/>
    <col min="2" max="2" width="17.88671875" style="7" customWidth="1"/>
    <col min="3" max="3" width="9.109375" style="7"/>
    <col min="4" max="4" width="18.109375" style="7" bestFit="1" customWidth="1"/>
    <col min="5" max="5" width="27.88671875" style="7" customWidth="1"/>
    <col min="6" max="6" width="36.5546875" style="7" customWidth="1"/>
    <col min="7" max="7" width="21" style="7" customWidth="1"/>
    <col min="8" max="9" width="9.109375" style="7"/>
    <col min="10" max="10" width="18.6640625" style="7" customWidth="1"/>
    <col min="11" max="11" width="47.5546875" style="7" customWidth="1"/>
    <col min="12" max="17" width="15.77734375" style="7" customWidth="1"/>
    <col min="18" max="20" width="9.109375" style="7"/>
    <col min="21" max="21" width="38.21875" style="7" customWidth="1"/>
    <col min="22" max="33" width="9.109375" style="7"/>
    <col min="34" max="34" width="21.44140625" style="7" customWidth="1"/>
    <col min="35" max="16384" width="9.109375" style="7"/>
  </cols>
  <sheetData>
    <row r="1" spans="1:40" ht="14.4" x14ac:dyDescent="0.3">
      <c r="A1" s="7" t="s">
        <v>123</v>
      </c>
      <c r="B1" t="s">
        <v>44</v>
      </c>
      <c r="C1" t="s">
        <v>43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122</v>
      </c>
      <c r="M1" t="s">
        <v>131</v>
      </c>
      <c r="N1" t="s">
        <v>127</v>
      </c>
      <c r="O1" t="s">
        <v>128</v>
      </c>
      <c r="P1" t="s">
        <v>129</v>
      </c>
      <c r="Q1" t="s">
        <v>130</v>
      </c>
      <c r="R1" s="4" t="s">
        <v>53</v>
      </c>
      <c r="S1" t="s">
        <v>54</v>
      </c>
      <c r="T1" s="4" t="s">
        <v>55</v>
      </c>
      <c r="U1" t="s">
        <v>56</v>
      </c>
      <c r="V1" s="5" t="s">
        <v>62</v>
      </c>
      <c r="W1" s="5" t="s">
        <v>63</v>
      </c>
      <c r="X1" s="5" t="s">
        <v>64</v>
      </c>
      <c r="Y1" s="5" t="s">
        <v>65</v>
      </c>
      <c r="Z1" s="5" t="s">
        <v>66</v>
      </c>
      <c r="AA1" s="5" t="s">
        <v>67</v>
      </c>
      <c r="AB1" s="5" t="s">
        <v>68</v>
      </c>
      <c r="AC1" s="5" t="s">
        <v>69</v>
      </c>
      <c r="AD1" s="5" t="s">
        <v>70</v>
      </c>
      <c r="AE1" s="5" t="s">
        <v>71</v>
      </c>
      <c r="AF1" s="5" t="s">
        <v>72</v>
      </c>
      <c r="AG1" s="5" t="s">
        <v>73</v>
      </c>
      <c r="AH1" s="5" t="s">
        <v>74</v>
      </c>
      <c r="AI1" s="5" t="s">
        <v>75</v>
      </c>
      <c r="AJ1" s="5" t="s">
        <v>76</v>
      </c>
      <c r="AK1" s="5" t="s">
        <v>77</v>
      </c>
      <c r="AL1" s="5" t="s">
        <v>78</v>
      </c>
      <c r="AM1" s="5" t="s">
        <v>60</v>
      </c>
      <c r="AN1" s="5" t="s">
        <v>61</v>
      </c>
    </row>
    <row r="2" spans="1:40" ht="14.4" x14ac:dyDescent="0.3">
      <c r="A2" s="7" t="s">
        <v>124</v>
      </c>
      <c r="B2" s="6">
        <v>11330394899</v>
      </c>
      <c r="C2" s="6">
        <v>252356073</v>
      </c>
      <c r="D2" s="8">
        <v>43868.690810185188</v>
      </c>
      <c r="E2" s="8">
        <v>43868.691087962965</v>
      </c>
      <c r="F2" s="6" t="s">
        <v>81</v>
      </c>
      <c r="G2" s="6"/>
      <c r="H2" s="6"/>
      <c r="I2" s="6"/>
      <c r="J2" s="6"/>
      <c r="K2" s="6" t="s">
        <v>82</v>
      </c>
      <c r="L2">
        <v>18130</v>
      </c>
      <c r="M2" t="str">
        <f>VLOOKUP(L2,[1]!DFanalysis[[ID]:[Currency of Reporting]],8,FALSE)</f>
        <v>GBP</v>
      </c>
      <c r="N2" t="str">
        <f>VLOOKUP(L2,[1]!DFanalysis[[ID]:[Currency of Reporting]],2,FALSE)</f>
        <v>Subordinated: Junior+Mezzanine</v>
      </c>
      <c r="O2" t="str">
        <f>VLOOKUP(L2,[1]!DFanalysis[[ID]:[Currency of Reporting]],3,FALSE)</f>
        <v>Europe</v>
      </c>
      <c r="P2" t="str">
        <f>VLOOKUP(L2,[1]!DFanalysis[[ID]:[Currency of Reporting]],4,FALSE)</f>
        <v>Closed end</v>
      </c>
      <c r="Q2">
        <f>VLOOKUP(L2,[1]!DFanalysis[[ID]:[Currency of Reporting]],5,FALSE)</f>
        <v>2016</v>
      </c>
      <c r="R2" s="6" t="s">
        <v>83</v>
      </c>
      <c r="S2" s="6"/>
      <c r="T2" s="6"/>
      <c r="U2" s="6">
        <v>16</v>
      </c>
      <c r="V2" s="6">
        <v>16</v>
      </c>
      <c r="W2" s="6"/>
      <c r="X2" s="6"/>
      <c r="Y2" s="6"/>
      <c r="Z2" s="6"/>
      <c r="AA2" s="6"/>
      <c r="AB2" s="6"/>
      <c r="AC2" s="6"/>
      <c r="AD2" s="6"/>
      <c r="AE2" s="6"/>
      <c r="AF2" s="6">
        <v>16</v>
      </c>
      <c r="AG2" s="6"/>
      <c r="AH2" s="6"/>
      <c r="AI2" s="6"/>
      <c r="AJ2" s="6"/>
      <c r="AK2" s="6">
        <v>100</v>
      </c>
      <c r="AL2" s="6"/>
      <c r="AM2" s="6" t="s">
        <v>84</v>
      </c>
      <c r="AN2" s="6" t="s">
        <v>83</v>
      </c>
    </row>
    <row r="3" spans="1:40" ht="14.4" x14ac:dyDescent="0.3">
      <c r="A3" s="7" t="s">
        <v>125</v>
      </c>
      <c r="B3" s="6">
        <v>11330393034</v>
      </c>
      <c r="C3" s="6">
        <v>252356073</v>
      </c>
      <c r="D3" s="8">
        <v>43868.69021990741</v>
      </c>
      <c r="E3" s="8">
        <v>43868.690601851849</v>
      </c>
      <c r="F3" s="6" t="s">
        <v>81</v>
      </c>
      <c r="G3" s="6"/>
      <c r="H3" s="6"/>
      <c r="I3" s="6"/>
      <c r="J3" s="6"/>
      <c r="K3" s="6" t="s">
        <v>85</v>
      </c>
      <c r="L3"/>
      <c r="M3" t="e">
        <f>VLOOKUP(L3,[1]!DFanalysis[[ID]:[Currency of Reporting]],8,FALSE)</f>
        <v>#N/A</v>
      </c>
      <c r="N3" t="e">
        <f>VLOOKUP(L3,[1]!DFanalysis[[ID]:[Currency of Reporting]],2,FALSE)</f>
        <v>#N/A</v>
      </c>
      <c r="O3" t="e">
        <f>VLOOKUP(L3,[1]!DFanalysis[[ID]:[Currency of Reporting]],3,FALSE)</f>
        <v>#N/A</v>
      </c>
      <c r="P3" t="e">
        <f>VLOOKUP(L3,[1]!DFanalysis[[ID]:[Currency of Reporting]],4,FALSE)</f>
        <v>#N/A</v>
      </c>
      <c r="Q3" t="e">
        <f>VLOOKUP(L3,[1]!DFanalysis[[ID]:[Currency of Reporting]],5,FALSE)</f>
        <v>#N/A</v>
      </c>
      <c r="R3" s="6" t="s">
        <v>83</v>
      </c>
      <c r="S3" s="6"/>
      <c r="T3" s="6"/>
      <c r="U3" s="6">
        <v>457</v>
      </c>
      <c r="V3" s="6">
        <v>457</v>
      </c>
      <c r="W3" s="6"/>
      <c r="X3" s="6"/>
      <c r="Y3" s="6"/>
      <c r="Z3" s="6"/>
      <c r="AA3" s="6"/>
      <c r="AB3" s="6"/>
      <c r="AC3" s="6"/>
      <c r="AD3" s="6">
        <v>457</v>
      </c>
      <c r="AE3" s="6"/>
      <c r="AF3" s="6"/>
      <c r="AG3" s="6"/>
      <c r="AH3" s="6"/>
      <c r="AI3" s="6"/>
      <c r="AJ3" s="6"/>
      <c r="AK3" s="6">
        <v>100</v>
      </c>
      <c r="AL3" s="6"/>
      <c r="AM3" s="6" t="s">
        <v>84</v>
      </c>
      <c r="AN3" s="6" t="s">
        <v>83</v>
      </c>
    </row>
    <row r="4" spans="1:40" ht="14.4" x14ac:dyDescent="0.3">
      <c r="A4" s="7" t="s">
        <v>125</v>
      </c>
      <c r="B4" s="6">
        <v>11330390380</v>
      </c>
      <c r="C4" s="6">
        <v>252356073</v>
      </c>
      <c r="D4" s="8">
        <v>43868.689432870371</v>
      </c>
      <c r="E4" s="8">
        <v>43868.690057870372</v>
      </c>
      <c r="F4" s="6" t="s">
        <v>81</v>
      </c>
      <c r="G4" s="6"/>
      <c r="H4" s="6"/>
      <c r="I4" s="6"/>
      <c r="J4" s="6"/>
      <c r="K4" s="6" t="s">
        <v>86</v>
      </c>
      <c r="L4"/>
      <c r="M4" t="e">
        <f>VLOOKUP(L4,[1]!DFanalysis[[ID]:[Currency of Reporting]],8,FALSE)</f>
        <v>#N/A</v>
      </c>
      <c r="N4" t="e">
        <f>VLOOKUP(L4,[1]!DFanalysis[[ID]:[Currency of Reporting]],2,FALSE)</f>
        <v>#N/A</v>
      </c>
      <c r="O4" t="e">
        <f>VLOOKUP(L4,[1]!DFanalysis[[ID]:[Currency of Reporting]],3,FALSE)</f>
        <v>#N/A</v>
      </c>
      <c r="P4" t="e">
        <f>VLOOKUP(L4,[1]!DFanalysis[[ID]:[Currency of Reporting]],4,FALSE)</f>
        <v>#N/A</v>
      </c>
      <c r="Q4" t="e">
        <f>VLOOKUP(L4,[1]!DFanalysis[[ID]:[Currency of Reporting]],5,FALSE)</f>
        <v>#N/A</v>
      </c>
      <c r="R4" s="6" t="s">
        <v>83</v>
      </c>
      <c r="S4" s="6"/>
      <c r="T4" s="6"/>
      <c r="U4" s="6">
        <v>10400</v>
      </c>
      <c r="V4" s="6"/>
      <c r="W4" s="6">
        <v>10400</v>
      </c>
      <c r="X4" s="6"/>
      <c r="Y4" s="6"/>
      <c r="Z4" s="6"/>
      <c r="AA4" s="6"/>
      <c r="AB4" s="6"/>
      <c r="AC4" s="6"/>
      <c r="AD4" s="6">
        <v>868</v>
      </c>
      <c r="AE4" s="6">
        <v>576</v>
      </c>
      <c r="AF4" s="6">
        <v>8956</v>
      </c>
      <c r="AG4" s="6"/>
      <c r="AH4" s="6"/>
      <c r="AI4" s="6"/>
      <c r="AJ4" s="6"/>
      <c r="AK4" s="6">
        <v>100</v>
      </c>
      <c r="AL4" s="6"/>
      <c r="AM4" s="6" t="s">
        <v>84</v>
      </c>
      <c r="AN4" s="6" t="s">
        <v>83</v>
      </c>
    </row>
    <row r="5" spans="1:40" ht="14.4" x14ac:dyDescent="0.3">
      <c r="A5" s="7" t="s">
        <v>125</v>
      </c>
      <c r="B5" s="6">
        <v>11330384819</v>
      </c>
      <c r="C5" s="6">
        <v>252356073</v>
      </c>
      <c r="D5" s="8">
        <v>43868.688032407408</v>
      </c>
      <c r="E5" s="8">
        <v>43868.689236111109</v>
      </c>
      <c r="F5" s="6" t="s">
        <v>81</v>
      </c>
      <c r="G5" s="6"/>
      <c r="H5" s="6"/>
      <c r="I5" s="6"/>
      <c r="J5" s="6"/>
      <c r="K5" s="6" t="s">
        <v>87</v>
      </c>
      <c r="L5"/>
      <c r="M5" t="e">
        <f>VLOOKUP(L5,[1]!DFanalysis[[ID]:[Currency of Reporting]],8,FALSE)</f>
        <v>#N/A</v>
      </c>
      <c r="N5" t="e">
        <f>VLOOKUP(L5,[1]!DFanalysis[[ID]:[Currency of Reporting]],2,FALSE)</f>
        <v>#N/A</v>
      </c>
      <c r="O5" t="e">
        <f>VLOOKUP(L5,[1]!DFanalysis[[ID]:[Currency of Reporting]],3,FALSE)</f>
        <v>#N/A</v>
      </c>
      <c r="P5" t="e">
        <f>VLOOKUP(L5,[1]!DFanalysis[[ID]:[Currency of Reporting]],4,FALSE)</f>
        <v>#N/A</v>
      </c>
      <c r="Q5" t="e">
        <f>VLOOKUP(L5,[1]!DFanalysis[[ID]:[Currency of Reporting]],5,FALSE)</f>
        <v>#N/A</v>
      </c>
      <c r="R5" s="6" t="s">
        <v>83</v>
      </c>
      <c r="S5" s="6"/>
      <c r="T5" s="6"/>
      <c r="U5" s="6">
        <v>925</v>
      </c>
      <c r="V5" s="6"/>
      <c r="W5" s="6"/>
      <c r="X5" s="6"/>
      <c r="Y5" s="6">
        <v>925</v>
      </c>
      <c r="Z5" s="6"/>
      <c r="AA5" s="6"/>
      <c r="AB5" s="6"/>
      <c r="AC5" s="6"/>
      <c r="AD5" s="6"/>
      <c r="AE5" s="6">
        <v>925</v>
      </c>
      <c r="AF5" s="6"/>
      <c r="AG5" s="6"/>
      <c r="AH5" s="6"/>
      <c r="AI5" s="6"/>
      <c r="AJ5" s="6"/>
      <c r="AK5" s="6">
        <v>100</v>
      </c>
      <c r="AL5" s="6"/>
      <c r="AM5" s="6" t="s">
        <v>84</v>
      </c>
      <c r="AN5" s="6" t="s">
        <v>83</v>
      </c>
    </row>
    <row r="6" spans="1:40" ht="15" thickBot="1" x14ac:dyDescent="0.35">
      <c r="A6" s="7" t="s">
        <v>124</v>
      </c>
      <c r="B6" s="6">
        <v>11325130444</v>
      </c>
      <c r="C6" s="6">
        <v>252356073</v>
      </c>
      <c r="D6" s="8">
        <v>43866.784143518518</v>
      </c>
      <c r="E6" s="8">
        <v>43866.789027777777</v>
      </c>
      <c r="F6" s="6" t="s">
        <v>88</v>
      </c>
      <c r="G6" s="6"/>
      <c r="H6" s="6"/>
      <c r="I6" s="6"/>
      <c r="J6" s="6"/>
      <c r="K6" s="9" t="s">
        <v>89</v>
      </c>
      <c r="L6">
        <v>17397</v>
      </c>
      <c r="M6" t="str">
        <f>VLOOKUP(L6,[1]!DFanalysis[[ID]:[Currency of Reporting]],8,FALSE)</f>
        <v>EUR</v>
      </c>
      <c r="N6" t="str">
        <f>VLOOKUP(L6,[1]!DFanalysis[[ID]:[Currency of Reporting]],2,FALSE)</f>
        <v>Senior</v>
      </c>
      <c r="O6" t="str">
        <f>VLOOKUP(L6,[1]!DFanalysis[[ID]:[Currency of Reporting]],3,FALSE)</f>
        <v>Europe</v>
      </c>
      <c r="P6" t="str">
        <f>VLOOKUP(L6,[1]!DFanalysis[[ID]:[Currency of Reporting]],4,FALSE)</f>
        <v>Closed end</v>
      </c>
      <c r="Q6">
        <f>VLOOKUP(L6,[1]!DFanalysis[[ID]:[Currency of Reporting]],5,FALSE)</f>
        <v>2013</v>
      </c>
      <c r="R6" s="6" t="s">
        <v>83</v>
      </c>
      <c r="S6" s="6"/>
      <c r="T6" s="6"/>
      <c r="U6" s="6">
        <v>370</v>
      </c>
      <c r="V6" s="6"/>
      <c r="W6" s="6">
        <v>370</v>
      </c>
      <c r="X6" s="6"/>
      <c r="Y6" s="6"/>
      <c r="Z6" s="6"/>
      <c r="AA6" s="6"/>
      <c r="AB6" s="6"/>
      <c r="AC6" s="6"/>
      <c r="AD6" s="6">
        <v>370</v>
      </c>
      <c r="AE6" s="6"/>
      <c r="AF6" s="6"/>
      <c r="AG6" s="6"/>
      <c r="AH6" s="6"/>
      <c r="AI6" s="6">
        <v>0</v>
      </c>
      <c r="AJ6" s="6"/>
      <c r="AK6" s="6">
        <v>100</v>
      </c>
      <c r="AL6" s="6"/>
      <c r="AM6" s="6" t="s">
        <v>84</v>
      </c>
      <c r="AN6" s="6" t="s">
        <v>83</v>
      </c>
    </row>
    <row r="7" spans="1:40" ht="15.6" thickTop="1" thickBot="1" x14ac:dyDescent="0.35">
      <c r="A7" s="7" t="s">
        <v>124</v>
      </c>
      <c r="B7" s="6">
        <v>11290754444</v>
      </c>
      <c r="C7" s="6">
        <v>252356073</v>
      </c>
      <c r="D7" s="8">
        <v>43852.464965277781</v>
      </c>
      <c r="E7" s="8">
        <v>43852.46601851852</v>
      </c>
      <c r="F7" s="6" t="s">
        <v>90</v>
      </c>
      <c r="G7" s="6"/>
      <c r="H7" s="6"/>
      <c r="I7" s="6"/>
      <c r="J7" s="6"/>
      <c r="K7" s="9" t="s">
        <v>91</v>
      </c>
      <c r="L7" s="10">
        <v>18360</v>
      </c>
      <c r="M7" t="str">
        <f>VLOOKUP(L7,[1]!DFanalysis[[ID]:[Currency of Reporting]],8,FALSE)</f>
        <v>GBP</v>
      </c>
      <c r="N7" t="str">
        <f>VLOOKUP(L7,[1]!DFanalysis[[ID]:[Currency of Reporting]],2,FALSE)</f>
        <v>Mixed: Senior+Subordinated</v>
      </c>
      <c r="O7" t="str">
        <f>VLOOKUP(L7,[1]!DFanalysis[[ID]:[Currency of Reporting]],3,FALSE)</f>
        <v>North America</v>
      </c>
      <c r="P7" t="str">
        <f>VLOOKUP(L7,[1]!DFanalysis[[ID]:[Currency of Reporting]],4,FALSE)</f>
        <v>Closed end</v>
      </c>
      <c r="Q7">
        <f>VLOOKUP(L7,[1]!DFanalysis[[ID]:[Currency of Reporting]],5,FALSE)</f>
        <v>2017</v>
      </c>
      <c r="R7" s="6" t="s">
        <v>83</v>
      </c>
      <c r="S7" s="6"/>
      <c r="T7" s="6"/>
      <c r="U7" s="6">
        <v>1</v>
      </c>
      <c r="V7" s="6">
        <v>1</v>
      </c>
      <c r="W7" s="6"/>
      <c r="X7" s="6"/>
      <c r="Y7" s="6"/>
      <c r="Z7" s="6"/>
      <c r="AA7" s="6"/>
      <c r="AB7" s="6"/>
      <c r="AC7" s="6"/>
      <c r="AD7" s="6">
        <v>1</v>
      </c>
      <c r="AE7" s="6"/>
      <c r="AF7" s="6"/>
      <c r="AG7" s="6"/>
      <c r="AH7" s="6"/>
      <c r="AI7" s="6"/>
      <c r="AJ7" s="6"/>
      <c r="AK7" s="6">
        <v>100</v>
      </c>
      <c r="AL7" s="6"/>
      <c r="AM7" s="6"/>
      <c r="AN7" s="6"/>
    </row>
    <row r="8" spans="1:40" ht="15.6" thickTop="1" thickBot="1" x14ac:dyDescent="0.35">
      <c r="A8" s="7" t="s">
        <v>124</v>
      </c>
      <c r="B8" s="6">
        <v>11289200758</v>
      </c>
      <c r="C8" s="6">
        <v>252356073</v>
      </c>
      <c r="D8" s="8">
        <v>43851.827303240738</v>
      </c>
      <c r="E8" s="8">
        <v>43851.829583333332</v>
      </c>
      <c r="F8" s="6" t="s">
        <v>92</v>
      </c>
      <c r="G8" s="6"/>
      <c r="H8" s="6"/>
      <c r="I8" s="6"/>
      <c r="J8" s="6"/>
      <c r="K8" s="6" t="s">
        <v>93</v>
      </c>
      <c r="L8" s="11">
        <v>19307</v>
      </c>
      <c r="M8" t="str">
        <f>VLOOKUP(L8,[1]!DFanalysis[[ID]:[Currency of Reporting]],8,FALSE)</f>
        <v>GBP</v>
      </c>
      <c r="N8" t="str">
        <f>VLOOKUP(L8,[1]!DFanalysis[[ID]:[Currency of Reporting]],2,FALSE)</f>
        <v>Senior</v>
      </c>
      <c r="O8" t="str">
        <f>VLOOKUP(L8,[1]!DFanalysis[[ID]:[Currency of Reporting]],3,FALSE)</f>
        <v>Europe</v>
      </c>
      <c r="P8" t="str">
        <f>VLOOKUP(L8,[1]!DFanalysis[[ID]:[Currency of Reporting]],4,FALSE)</f>
        <v>Closed end</v>
      </c>
      <c r="Q8">
        <f>VLOOKUP(L8,[1]!DFanalysis[[ID]:[Currency of Reporting]],5,FALSE)</f>
        <v>2016</v>
      </c>
      <c r="R8" s="6" t="s">
        <v>83</v>
      </c>
      <c r="S8" s="6"/>
      <c r="T8" s="6"/>
      <c r="U8" s="6">
        <v>100</v>
      </c>
      <c r="V8" s="6">
        <v>100</v>
      </c>
      <c r="W8" s="6"/>
      <c r="X8" s="6"/>
      <c r="Y8" s="6"/>
      <c r="Z8" s="6"/>
      <c r="AA8" s="6"/>
      <c r="AB8" s="6"/>
      <c r="AC8" s="6"/>
      <c r="AD8" s="6"/>
      <c r="AE8" s="6"/>
      <c r="AF8" s="6">
        <v>100</v>
      </c>
      <c r="AG8" s="6"/>
      <c r="AH8" s="6"/>
      <c r="AI8" s="6"/>
      <c r="AJ8" s="6"/>
      <c r="AK8" s="6">
        <v>100</v>
      </c>
      <c r="AL8" s="6"/>
      <c r="AM8" s="6" t="s">
        <v>84</v>
      </c>
      <c r="AN8" s="6" t="s">
        <v>94</v>
      </c>
    </row>
    <row r="9" spans="1:40" ht="15.6" thickTop="1" thickBot="1" x14ac:dyDescent="0.35">
      <c r="A9" s="7" t="s">
        <v>124</v>
      </c>
      <c r="B9" s="6">
        <v>11288471069</v>
      </c>
      <c r="C9" s="6">
        <v>252356073</v>
      </c>
      <c r="D9" s="8">
        <v>43851.659305555557</v>
      </c>
      <c r="E9" s="8">
        <v>43851.660254629627</v>
      </c>
      <c r="F9" s="6" t="s">
        <v>95</v>
      </c>
      <c r="G9" s="6"/>
      <c r="H9" s="6"/>
      <c r="I9" s="6"/>
      <c r="J9" s="6"/>
      <c r="K9" s="9" t="s">
        <v>96</v>
      </c>
      <c r="L9" s="10">
        <v>19298</v>
      </c>
      <c r="M9" t="str">
        <f>VLOOKUP(L9,[1]!DFanalysis[[ID]:[Currency of Reporting]],8,FALSE)</f>
        <v>GBP</v>
      </c>
      <c r="N9" t="str">
        <f>VLOOKUP(L9,[1]!DFanalysis[[ID]:[Currency of Reporting]],2,FALSE)</f>
        <v>Senior</v>
      </c>
      <c r="O9" t="str">
        <f>VLOOKUP(L9,[1]!DFanalysis[[ID]:[Currency of Reporting]],3,FALSE)</f>
        <v>Europe</v>
      </c>
      <c r="P9" t="str">
        <f>VLOOKUP(L9,[1]!DFanalysis[[ID]:[Currency of Reporting]],4,FALSE)</f>
        <v>Open end</v>
      </c>
      <c r="Q9">
        <f>VLOOKUP(L9,[1]!DFanalysis[[ID]:[Currency of Reporting]],5,FALSE)</f>
        <v>2019</v>
      </c>
      <c r="R9" s="6" t="s">
        <v>83</v>
      </c>
      <c r="S9" s="6"/>
      <c r="T9" s="6"/>
      <c r="U9" s="6">
        <v>216</v>
      </c>
      <c r="V9" s="6">
        <v>215</v>
      </c>
      <c r="W9" s="6"/>
      <c r="X9" s="6"/>
      <c r="Y9" s="6"/>
      <c r="Z9" s="6"/>
      <c r="AA9" s="6"/>
      <c r="AB9" s="6"/>
      <c r="AC9" s="6">
        <v>1</v>
      </c>
      <c r="AD9" s="6">
        <v>216</v>
      </c>
      <c r="AE9" s="6"/>
      <c r="AF9" s="6"/>
      <c r="AG9" s="6"/>
      <c r="AH9" s="6"/>
      <c r="AI9" s="6"/>
      <c r="AJ9" s="6"/>
      <c r="AK9" s="6">
        <v>100</v>
      </c>
      <c r="AL9" s="6"/>
      <c r="AM9" s="6" t="s">
        <v>84</v>
      </c>
      <c r="AN9" s="6" t="s">
        <v>83</v>
      </c>
    </row>
    <row r="10" spans="1:40" ht="15.6" thickTop="1" thickBot="1" x14ac:dyDescent="0.35">
      <c r="A10" s="7" t="s">
        <v>124</v>
      </c>
      <c r="B10" s="6">
        <v>11288335367</v>
      </c>
      <c r="C10" s="6">
        <v>252356073</v>
      </c>
      <c r="D10" s="8">
        <v>43851.625162037039</v>
      </c>
      <c r="E10" s="8">
        <v>43851.627696759257</v>
      </c>
      <c r="F10" s="6" t="s">
        <v>95</v>
      </c>
      <c r="G10" s="6"/>
      <c r="H10" s="6"/>
      <c r="I10" s="6"/>
      <c r="J10" s="6"/>
      <c r="K10" s="9" t="s">
        <v>97</v>
      </c>
      <c r="L10" s="11">
        <v>19297</v>
      </c>
      <c r="M10" t="str">
        <f>VLOOKUP(L10,[1]!DFanalysis[[ID]:[Currency of Reporting]],8,FALSE)</f>
        <v>GBP</v>
      </c>
      <c r="N10" t="str">
        <f>VLOOKUP(L10,[1]!DFanalysis[[ID]:[Currency of Reporting]],2,FALSE)</f>
        <v>Senior</v>
      </c>
      <c r="O10" t="str">
        <f>VLOOKUP(L10,[1]!DFanalysis[[ID]:[Currency of Reporting]],3,FALSE)</f>
        <v>Europe</v>
      </c>
      <c r="P10" t="str">
        <f>VLOOKUP(L10,[1]!DFanalysis[[ID]:[Currency of Reporting]],4,FALSE)</f>
        <v>Closed end</v>
      </c>
      <c r="Q10">
        <f>VLOOKUP(L10,[1]!DFanalysis[[ID]:[Currency of Reporting]],5,FALSE)</f>
        <v>2019</v>
      </c>
      <c r="R10" s="6" t="s">
        <v>83</v>
      </c>
      <c r="S10" s="6"/>
      <c r="T10" s="6"/>
      <c r="U10" s="6">
        <v>101</v>
      </c>
      <c r="V10" s="6"/>
      <c r="W10" s="6"/>
      <c r="X10" s="6">
        <v>100</v>
      </c>
      <c r="Y10" s="6"/>
      <c r="Z10" s="6"/>
      <c r="AA10" s="6"/>
      <c r="AB10" s="6"/>
      <c r="AC10" s="6">
        <v>1</v>
      </c>
      <c r="AD10" s="6">
        <v>101</v>
      </c>
      <c r="AE10" s="6"/>
      <c r="AF10" s="6"/>
      <c r="AG10" s="6"/>
      <c r="AH10" s="6"/>
      <c r="AI10" s="6"/>
      <c r="AJ10" s="6"/>
      <c r="AK10" s="6">
        <v>100</v>
      </c>
      <c r="AL10" s="6"/>
      <c r="AM10" s="6" t="s">
        <v>84</v>
      </c>
      <c r="AN10" s="6" t="s">
        <v>83</v>
      </c>
    </row>
    <row r="11" spans="1:40" ht="15.6" thickTop="1" thickBot="1" x14ac:dyDescent="0.35">
      <c r="A11" s="7" t="s">
        <v>125</v>
      </c>
      <c r="B11" s="6">
        <v>11288254742</v>
      </c>
      <c r="C11" s="6">
        <v>252356073</v>
      </c>
      <c r="D11" s="8">
        <v>43851.601805555554</v>
      </c>
      <c r="E11" s="8">
        <v>43851.602233796293</v>
      </c>
      <c r="F11" s="6" t="s">
        <v>98</v>
      </c>
      <c r="G11" s="6"/>
      <c r="H11" s="6"/>
      <c r="I11" s="6"/>
      <c r="J11" s="6"/>
      <c r="K11" s="9" t="s">
        <v>99</v>
      </c>
      <c r="L11" s="10">
        <v>17383</v>
      </c>
      <c r="M11" t="str">
        <f>VLOOKUP(L11,[1]!DFanalysis[[ID]:[Currency of Reporting]],8,FALSE)</f>
        <v>GBP</v>
      </c>
      <c r="N11" t="str">
        <f>VLOOKUP(L11,[1]!DFanalysis[[ID]:[Currency of Reporting]],2,FALSE)</f>
        <v>Senior</v>
      </c>
      <c r="O11" t="str">
        <f>VLOOKUP(L11,[1]!DFanalysis[[ID]:[Currency of Reporting]],3,FALSE)</f>
        <v>Europe</v>
      </c>
      <c r="P11" t="str">
        <f>VLOOKUP(L11,[1]!DFanalysis[[ID]:[Currency of Reporting]],4,FALSE)</f>
        <v>Closed end</v>
      </c>
      <c r="Q11">
        <f>VLOOKUP(L11,[1]!DFanalysis[[ID]:[Currency of Reporting]],5,FALSE)</f>
        <v>2014</v>
      </c>
      <c r="R11" s="6" t="s">
        <v>94</v>
      </c>
      <c r="S11" s="6" t="s">
        <v>14</v>
      </c>
      <c r="T11" s="6" t="s">
        <v>100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 t="s">
        <v>84</v>
      </c>
      <c r="AN11" s="6" t="s">
        <v>83</v>
      </c>
    </row>
    <row r="12" spans="1:40" ht="15.6" thickTop="1" thickBot="1" x14ac:dyDescent="0.35">
      <c r="A12" s="7" t="s">
        <v>124</v>
      </c>
      <c r="B12" s="6">
        <v>11272709817</v>
      </c>
      <c r="C12" s="6">
        <v>252356073</v>
      </c>
      <c r="D12" s="8">
        <v>43844.492615740739</v>
      </c>
      <c r="E12" s="8">
        <v>43844.493310185186</v>
      </c>
      <c r="F12" s="6" t="s">
        <v>101</v>
      </c>
      <c r="G12" s="6"/>
      <c r="H12" s="6"/>
      <c r="I12" s="6"/>
      <c r="J12" s="6"/>
      <c r="K12" s="9" t="s">
        <v>102</v>
      </c>
      <c r="L12" s="11">
        <v>19292</v>
      </c>
      <c r="M12" t="str">
        <f>VLOOKUP(L12,[1]!DFanalysis[[ID]:[Currency of Reporting]],8,FALSE)</f>
        <v>GBP</v>
      </c>
      <c r="N12" t="str">
        <f>VLOOKUP(L12,[1]!DFanalysis[[ID]:[Currency of Reporting]],2,FALSE)</f>
        <v>Whole Loans</v>
      </c>
      <c r="O12">
        <f>VLOOKUP(L12,[1]!DFanalysis[[ID]:[Currency of Reporting]],3,FALSE)</f>
        <v>0</v>
      </c>
      <c r="P12" t="str">
        <f>VLOOKUP(L12,[1]!DFanalysis[[ID]:[Currency of Reporting]],4,FALSE)</f>
        <v>Closed end</v>
      </c>
      <c r="Q12">
        <f>VLOOKUP(L12,[1]!DFanalysis[[ID]:[Currency of Reporting]],5,FALSE)</f>
        <v>2019</v>
      </c>
      <c r="R12" s="6" t="s">
        <v>83</v>
      </c>
      <c r="S12" s="6"/>
      <c r="T12" s="6"/>
      <c r="U12" s="6">
        <v>35</v>
      </c>
      <c r="V12" s="6">
        <v>35</v>
      </c>
      <c r="W12" s="6"/>
      <c r="X12" s="6"/>
      <c r="Y12" s="6"/>
      <c r="Z12" s="6"/>
      <c r="AA12" s="6"/>
      <c r="AB12" s="6"/>
      <c r="AC12" s="6"/>
      <c r="AD12" s="6">
        <v>35</v>
      </c>
      <c r="AE12" s="6"/>
      <c r="AF12" s="6"/>
      <c r="AG12" s="6"/>
      <c r="AH12" s="6"/>
      <c r="AI12" s="6"/>
      <c r="AJ12" s="6"/>
      <c r="AK12" s="6">
        <v>100</v>
      </c>
      <c r="AL12" s="6"/>
      <c r="AM12" s="6" t="s">
        <v>84</v>
      </c>
      <c r="AN12" s="6" t="s">
        <v>83</v>
      </c>
    </row>
    <row r="13" spans="1:40" ht="15.6" thickTop="1" thickBot="1" x14ac:dyDescent="0.35">
      <c r="A13" s="7" t="s">
        <v>125</v>
      </c>
      <c r="B13" s="6">
        <v>11270068966</v>
      </c>
      <c r="C13" s="6">
        <v>252356073</v>
      </c>
      <c r="D13" s="8">
        <v>43843.432754629626</v>
      </c>
      <c r="E13" s="8">
        <v>43843.433506944442</v>
      </c>
      <c r="F13" s="6" t="s">
        <v>103</v>
      </c>
      <c r="G13" s="6"/>
      <c r="H13" s="6"/>
      <c r="I13" s="6"/>
      <c r="J13" s="6"/>
      <c r="K13" s="9" t="s">
        <v>104</v>
      </c>
      <c r="L13" s="10">
        <v>18419</v>
      </c>
      <c r="M13" t="str">
        <f>VLOOKUP(L13,[1]!DFanalysis[[ID]:[Currency of Reporting]],8,FALSE)</f>
        <v>GBP</v>
      </c>
      <c r="N13" t="str">
        <f>VLOOKUP(L13,[1]!DFanalysis[[ID]:[Currency of Reporting]],2,FALSE)</f>
        <v>Senior</v>
      </c>
      <c r="O13" t="str">
        <f>VLOOKUP(L13,[1]!DFanalysis[[ID]:[Currency of Reporting]],3,FALSE)</f>
        <v>North America</v>
      </c>
      <c r="P13" t="str">
        <f>VLOOKUP(L13,[1]!DFanalysis[[ID]:[Currency of Reporting]],4,FALSE)</f>
        <v>Closed end</v>
      </c>
      <c r="Q13">
        <f>VLOOKUP(L13,[1]!DFanalysis[[ID]:[Currency of Reporting]],5,FALSE)</f>
        <v>2016</v>
      </c>
      <c r="R13" s="6" t="s">
        <v>94</v>
      </c>
      <c r="S13" s="6" t="s">
        <v>14</v>
      </c>
      <c r="T13" s="6" t="s">
        <v>105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 t="s">
        <v>84</v>
      </c>
      <c r="AN13" s="6" t="s">
        <v>83</v>
      </c>
    </row>
    <row r="14" spans="1:40" ht="15" thickTop="1" x14ac:dyDescent="0.3">
      <c r="A14" s="7" t="s">
        <v>124</v>
      </c>
      <c r="B14" s="6">
        <v>11270024041</v>
      </c>
      <c r="C14" s="6">
        <v>252356073</v>
      </c>
      <c r="D14" s="8">
        <v>43843.405601851853</v>
      </c>
      <c r="E14" s="8">
        <v>43843.408449074072</v>
      </c>
      <c r="F14" s="6" t="s">
        <v>106</v>
      </c>
      <c r="G14" s="6"/>
      <c r="H14" s="6"/>
      <c r="I14" s="6"/>
      <c r="J14" s="6"/>
      <c r="K14" s="9" t="s">
        <v>107</v>
      </c>
      <c r="L14" s="11">
        <v>19301</v>
      </c>
      <c r="M14" t="str">
        <f>VLOOKUP(L14,[1]!DFanalysis[[ID]:[Currency of Reporting]],8,FALSE)</f>
        <v>GBP</v>
      </c>
      <c r="N14" t="str">
        <f>VLOOKUP(L14,[1]!DFanalysis[[ID]:[Currency of Reporting]],2,FALSE)</f>
        <v>Mixed: Senior+Subordinated</v>
      </c>
      <c r="O14" t="str">
        <f>VLOOKUP(L14,[1]!DFanalysis[[ID]:[Currency of Reporting]],3,FALSE)</f>
        <v>Europe</v>
      </c>
      <c r="P14" t="str">
        <f>VLOOKUP(L14,[1]!DFanalysis[[ID]:[Currency of Reporting]],4,FALSE)</f>
        <v>Closed end</v>
      </c>
      <c r="Q14">
        <f>VLOOKUP(L14,[1]!DFanalysis[[ID]:[Currency of Reporting]],5,FALSE)</f>
        <v>2019</v>
      </c>
      <c r="R14" s="6" t="s">
        <v>83</v>
      </c>
      <c r="S14" s="6"/>
      <c r="T14" s="6"/>
      <c r="U14" s="6">
        <v>176</v>
      </c>
      <c r="V14" s="6">
        <v>134</v>
      </c>
      <c r="W14" s="6"/>
      <c r="X14" s="6"/>
      <c r="Y14" s="6"/>
      <c r="Z14" s="6"/>
      <c r="AA14" s="6">
        <v>40</v>
      </c>
      <c r="AB14" s="6">
        <v>2</v>
      </c>
      <c r="AC14" s="6"/>
      <c r="AD14" s="6">
        <v>136</v>
      </c>
      <c r="AE14" s="6"/>
      <c r="AF14" s="6">
        <v>40</v>
      </c>
      <c r="AG14" s="6"/>
      <c r="AH14" s="6"/>
      <c r="AI14" s="6">
        <v>0</v>
      </c>
      <c r="AJ14" s="6">
        <v>0</v>
      </c>
      <c r="AK14" s="6">
        <v>100</v>
      </c>
      <c r="AL14" s="6">
        <v>0</v>
      </c>
      <c r="AM14" s="6" t="s">
        <v>84</v>
      </c>
      <c r="AN14" s="6" t="s">
        <v>83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51D1-5C77-4463-B6D8-6E13A252FCE1}">
  <dimension ref="A1:A17"/>
  <sheetViews>
    <sheetView workbookViewId="0">
      <selection activeCell="F9" sqref="F9"/>
    </sheetView>
  </sheetViews>
  <sheetFormatPr defaultRowHeight="14.4" x14ac:dyDescent="0.3"/>
  <cols>
    <col min="1" max="1" width="16.21875" customWidth="1"/>
  </cols>
  <sheetData>
    <row r="1" spans="1:1" x14ac:dyDescent="0.3">
      <c r="A1" s="6">
        <v>11330394899</v>
      </c>
    </row>
    <row r="2" spans="1:1" x14ac:dyDescent="0.3">
      <c r="A2" s="6">
        <v>11330393034</v>
      </c>
    </row>
    <row r="3" spans="1:1" x14ac:dyDescent="0.3">
      <c r="A3" s="6">
        <v>11330390380</v>
      </c>
    </row>
    <row r="4" spans="1:1" x14ac:dyDescent="0.3">
      <c r="A4" s="6">
        <v>11330384819</v>
      </c>
    </row>
    <row r="5" spans="1:1" x14ac:dyDescent="0.3">
      <c r="A5" s="6">
        <v>11325130444</v>
      </c>
    </row>
    <row r="6" spans="1:1" x14ac:dyDescent="0.3">
      <c r="A6" s="6">
        <v>11290754444</v>
      </c>
    </row>
    <row r="7" spans="1:1" x14ac:dyDescent="0.3">
      <c r="A7" s="6">
        <v>11289200758</v>
      </c>
    </row>
    <row r="8" spans="1:1" x14ac:dyDescent="0.3">
      <c r="A8" s="6">
        <v>11288471069</v>
      </c>
    </row>
    <row r="9" spans="1:1" x14ac:dyDescent="0.3">
      <c r="A9" s="6">
        <v>11288335367</v>
      </c>
    </row>
    <row r="10" spans="1:1" x14ac:dyDescent="0.3">
      <c r="A10" s="6">
        <v>11288254742</v>
      </c>
    </row>
    <row r="11" spans="1:1" x14ac:dyDescent="0.3">
      <c r="A11" s="6">
        <v>11272709817</v>
      </c>
    </row>
    <row r="12" spans="1:1" x14ac:dyDescent="0.3">
      <c r="A12" s="6">
        <v>11270068966</v>
      </c>
    </row>
    <row r="13" spans="1:1" x14ac:dyDescent="0.3">
      <c r="A13" s="6">
        <v>11270024041</v>
      </c>
    </row>
    <row r="14" spans="1:1" x14ac:dyDescent="0.3">
      <c r="A14" s="6">
        <v>11313126242</v>
      </c>
    </row>
    <row r="15" spans="1:1" x14ac:dyDescent="0.3">
      <c r="A15" s="6">
        <v>11309777072</v>
      </c>
    </row>
    <row r="16" spans="1:1" x14ac:dyDescent="0.3">
      <c r="A16" s="6">
        <v>11301581901</v>
      </c>
    </row>
    <row r="17" spans="1:1" x14ac:dyDescent="0.3">
      <c r="A17" s="6">
        <v>11272708420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F776-1DFF-4B88-A221-C16105CAC962}">
  <dimension ref="A1:E39"/>
  <sheetViews>
    <sheetView workbookViewId="0">
      <selection activeCell="D12" sqref="D12"/>
    </sheetView>
  </sheetViews>
  <sheetFormatPr defaultRowHeight="14.4" x14ac:dyDescent="0.3"/>
  <cols>
    <col min="1" max="1" width="48" customWidth="1"/>
    <col min="2" max="2" width="17" customWidth="1"/>
    <col min="3" max="3" width="36.33203125" customWidth="1"/>
    <col min="4" max="4" width="18.77734375" customWidth="1"/>
    <col min="5" max="5" width="19.77734375" customWidth="1"/>
  </cols>
  <sheetData>
    <row r="1" spans="1:5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3">
      <c r="A2" s="1" t="s">
        <v>0</v>
      </c>
      <c r="B2" s="1"/>
      <c r="C2" s="1"/>
      <c r="D2" t="s">
        <v>44</v>
      </c>
      <c r="E2" s="6" t="s">
        <v>79</v>
      </c>
    </row>
    <row r="3" spans="1:5" x14ac:dyDescent="0.3">
      <c r="A3" s="1" t="s">
        <v>1</v>
      </c>
      <c r="B3" s="1"/>
      <c r="C3" s="1"/>
      <c r="D3" t="s">
        <v>43</v>
      </c>
      <c r="E3" s="6" t="s">
        <v>79</v>
      </c>
    </row>
    <row r="4" spans="1:5" x14ac:dyDescent="0.3">
      <c r="A4" s="1" t="s">
        <v>2</v>
      </c>
      <c r="B4" s="1"/>
      <c r="C4" s="1"/>
      <c r="D4" t="s">
        <v>45</v>
      </c>
      <c r="E4" s="6" t="s">
        <v>79</v>
      </c>
    </row>
    <row r="5" spans="1:5" x14ac:dyDescent="0.3">
      <c r="A5" s="1" t="s">
        <v>3</v>
      </c>
      <c r="B5" s="1"/>
      <c r="C5" s="1"/>
      <c r="D5" t="s">
        <v>46</v>
      </c>
      <c r="E5" s="6" t="s">
        <v>79</v>
      </c>
    </row>
    <row r="6" spans="1:5" x14ac:dyDescent="0.3">
      <c r="A6" s="1" t="s">
        <v>4</v>
      </c>
      <c r="B6" s="1"/>
      <c r="C6" s="1"/>
      <c r="D6" t="s">
        <v>47</v>
      </c>
      <c r="E6" s="6" t="s">
        <v>79</v>
      </c>
    </row>
    <row r="7" spans="1:5" x14ac:dyDescent="0.3">
      <c r="A7" s="1" t="s">
        <v>5</v>
      </c>
      <c r="B7" s="1"/>
      <c r="C7" s="1"/>
      <c r="D7" t="s">
        <v>48</v>
      </c>
      <c r="E7" s="6" t="s">
        <v>79</v>
      </c>
    </row>
    <row r="8" spans="1:5" x14ac:dyDescent="0.3">
      <c r="A8" s="1" t="s">
        <v>6</v>
      </c>
      <c r="B8" s="1"/>
      <c r="C8" s="1"/>
      <c r="D8" t="s">
        <v>49</v>
      </c>
      <c r="E8" s="6" t="s">
        <v>79</v>
      </c>
    </row>
    <row r="9" spans="1:5" x14ac:dyDescent="0.3">
      <c r="A9" s="1" t="s">
        <v>7</v>
      </c>
      <c r="B9" s="1"/>
      <c r="C9" s="1"/>
      <c r="D9" t="s">
        <v>50</v>
      </c>
      <c r="E9" s="6" t="s">
        <v>79</v>
      </c>
    </row>
    <row r="10" spans="1:5" x14ac:dyDescent="0.3">
      <c r="A10" s="1" t="s">
        <v>8</v>
      </c>
      <c r="B10" s="1"/>
      <c r="C10" s="1"/>
      <c r="D10" t="s">
        <v>51</v>
      </c>
      <c r="E10" s="6" t="s">
        <v>79</v>
      </c>
    </row>
    <row r="11" spans="1:5" x14ac:dyDescent="0.3">
      <c r="A11" s="1" t="s">
        <v>9</v>
      </c>
      <c r="B11" s="1"/>
      <c r="C11" s="1" t="s">
        <v>10</v>
      </c>
      <c r="D11" t="s">
        <v>52</v>
      </c>
      <c r="E11" s="6" t="s">
        <v>79</v>
      </c>
    </row>
    <row r="12" spans="1:5" x14ac:dyDescent="0.3">
      <c r="A12" s="1" t="s">
        <v>121</v>
      </c>
      <c r="B12" s="1"/>
      <c r="C12" s="1"/>
      <c r="D12" t="s">
        <v>122</v>
      </c>
      <c r="E12" s="6" t="s">
        <v>79</v>
      </c>
    </row>
    <row r="13" spans="1:5" x14ac:dyDescent="0.3">
      <c r="A13" s="1" t="s">
        <v>132</v>
      </c>
      <c r="B13" s="1"/>
      <c r="C13" s="1"/>
      <c r="D13" t="s">
        <v>131</v>
      </c>
      <c r="E13" s="6" t="s">
        <v>79</v>
      </c>
    </row>
    <row r="14" spans="1:5" x14ac:dyDescent="0.3">
      <c r="A14" s="1" t="s">
        <v>137</v>
      </c>
      <c r="B14" s="1"/>
      <c r="C14" s="1"/>
      <c r="D14" t="s">
        <v>136</v>
      </c>
      <c r="E14" s="6" t="s">
        <v>79</v>
      </c>
    </row>
    <row r="15" spans="1:5" x14ac:dyDescent="0.3">
      <c r="A15" s="1" t="s">
        <v>134</v>
      </c>
      <c r="B15" s="1"/>
      <c r="C15" s="1"/>
      <c r="D15" t="s">
        <v>129</v>
      </c>
      <c r="E15" s="6" t="s">
        <v>79</v>
      </c>
    </row>
    <row r="16" spans="1:5" x14ac:dyDescent="0.3">
      <c r="A16" s="1" t="s">
        <v>138</v>
      </c>
      <c r="B16" s="1"/>
      <c r="C16" s="1"/>
      <c r="D16" t="s">
        <v>130</v>
      </c>
      <c r="E16" s="6" t="s">
        <v>79</v>
      </c>
    </row>
    <row r="17" spans="1:5" x14ac:dyDescent="0.3">
      <c r="A17" s="1" t="s">
        <v>108</v>
      </c>
      <c r="B17" s="1" t="s">
        <v>53</v>
      </c>
      <c r="C17" s="1" t="s">
        <v>12</v>
      </c>
      <c r="D17" s="4" t="s">
        <v>53</v>
      </c>
      <c r="E17" s="6" t="s">
        <v>79</v>
      </c>
    </row>
    <row r="18" spans="1:5" x14ac:dyDescent="0.3">
      <c r="A18" s="1" t="s">
        <v>109</v>
      </c>
      <c r="B18" s="1" t="s">
        <v>54</v>
      </c>
      <c r="C18" s="1" t="s">
        <v>12</v>
      </c>
      <c r="D18" s="4" t="s">
        <v>54</v>
      </c>
      <c r="E18" s="6" t="s">
        <v>79</v>
      </c>
    </row>
    <row r="19" spans="1:5" x14ac:dyDescent="0.3">
      <c r="A19" s="1" t="s">
        <v>109</v>
      </c>
      <c r="B19" s="1"/>
      <c r="C19" s="1" t="s">
        <v>14</v>
      </c>
      <c r="D19" t="s">
        <v>55</v>
      </c>
      <c r="E19" s="6" t="s">
        <v>79</v>
      </c>
    </row>
    <row r="20" spans="1:5" x14ac:dyDescent="0.3">
      <c r="A20" s="1" t="s">
        <v>15</v>
      </c>
      <c r="B20" s="1" t="s">
        <v>56</v>
      </c>
      <c r="C20" s="1" t="s">
        <v>10</v>
      </c>
      <c r="D20" s="4" t="s">
        <v>56</v>
      </c>
      <c r="E20" s="6" t="s">
        <v>80</v>
      </c>
    </row>
    <row r="21" spans="1:5" x14ac:dyDescent="0.3">
      <c r="A21" s="1" t="s">
        <v>17</v>
      </c>
      <c r="B21" s="1" t="s">
        <v>57</v>
      </c>
      <c r="C21" s="1" t="s">
        <v>18</v>
      </c>
      <c r="D21" s="5" t="s">
        <v>62</v>
      </c>
      <c r="E21" s="6" t="s">
        <v>80</v>
      </c>
    </row>
    <row r="22" spans="1:5" x14ac:dyDescent="0.3">
      <c r="A22" s="1" t="str">
        <f t="shared" ref="A22:A28" si="0">A21</f>
        <v>How much capital was raised for this vehicle in 2019 from Institutional Investors by investor type? (millions)Please ensure that the total values provided match the values you entered in Q3</v>
      </c>
      <c r="B22" s="1" t="str">
        <f t="shared" ref="B22:B28" si="1">B21</f>
        <v>q4</v>
      </c>
      <c r="C22" s="1" t="s">
        <v>19</v>
      </c>
      <c r="D22" s="5" t="s">
        <v>63</v>
      </c>
      <c r="E22" s="6" t="s">
        <v>80</v>
      </c>
    </row>
    <row r="23" spans="1:5" x14ac:dyDescent="0.3">
      <c r="A23" s="1" t="str">
        <f t="shared" si="0"/>
        <v>How much capital was raised for this vehicle in 2019 from Institutional Investors by investor type? (millions)Please ensure that the total values provided match the values you entered in Q3</v>
      </c>
      <c r="B23" s="1" t="str">
        <f t="shared" si="1"/>
        <v>q4</v>
      </c>
      <c r="C23" s="1" t="s">
        <v>110</v>
      </c>
      <c r="D23" s="5" t="s">
        <v>64</v>
      </c>
      <c r="E23" s="6" t="s">
        <v>80</v>
      </c>
    </row>
    <row r="24" spans="1:5" x14ac:dyDescent="0.3">
      <c r="A24" s="1" t="str">
        <f t="shared" si="0"/>
        <v>How much capital was raised for this vehicle in 2019 from Institutional Investors by investor type? (millions)Please ensure that the total values provided match the values you entered in Q3</v>
      </c>
      <c r="B24" s="1" t="str">
        <f t="shared" si="1"/>
        <v>q4</v>
      </c>
      <c r="C24" s="1" t="s">
        <v>21</v>
      </c>
      <c r="D24" s="5" t="s">
        <v>65</v>
      </c>
      <c r="E24" s="6" t="s">
        <v>80</v>
      </c>
    </row>
    <row r="25" spans="1:5" x14ac:dyDescent="0.3">
      <c r="A25" s="1" t="str">
        <f t="shared" si="0"/>
        <v>How much capital was raised for this vehicle in 2019 from Institutional Investors by investor type? (millions)Please ensure that the total values provided match the values you entered in Q3</v>
      </c>
      <c r="B25" s="1" t="str">
        <f t="shared" si="1"/>
        <v>q4</v>
      </c>
      <c r="C25" s="1" t="s">
        <v>22</v>
      </c>
      <c r="D25" s="5" t="s">
        <v>66</v>
      </c>
      <c r="E25" s="6" t="s">
        <v>80</v>
      </c>
    </row>
    <row r="26" spans="1:5" x14ac:dyDescent="0.3">
      <c r="A26" s="1" t="str">
        <f t="shared" si="0"/>
        <v>How much capital was raised for this vehicle in 2019 from Institutional Investors by investor type? (millions)Please ensure that the total values provided match the values you entered in Q3</v>
      </c>
      <c r="B26" s="1" t="str">
        <f t="shared" si="1"/>
        <v>q4</v>
      </c>
      <c r="C26" s="1" t="s">
        <v>23</v>
      </c>
      <c r="D26" s="5" t="s">
        <v>67</v>
      </c>
      <c r="E26" s="6" t="s">
        <v>80</v>
      </c>
    </row>
    <row r="27" spans="1:5" x14ac:dyDescent="0.3">
      <c r="A27" s="1" t="str">
        <f t="shared" si="0"/>
        <v>How much capital was raised for this vehicle in 2019 from Institutional Investors by investor type? (millions)Please ensure that the total values provided match the values you entered in Q3</v>
      </c>
      <c r="B27" s="1" t="str">
        <f t="shared" si="1"/>
        <v>q4</v>
      </c>
      <c r="C27" s="1" t="s">
        <v>111</v>
      </c>
      <c r="D27" s="5" t="s">
        <v>68</v>
      </c>
      <c r="E27" s="6" t="s">
        <v>80</v>
      </c>
    </row>
    <row r="28" spans="1:5" x14ac:dyDescent="0.3">
      <c r="A28" s="1" t="str">
        <f t="shared" si="0"/>
        <v>How much capital was raised for this vehicle in 2019 from Institutional Investors by investor type? (millions)Please ensure that the total values provided match the values you entered in Q3</v>
      </c>
      <c r="B28" s="1" t="str">
        <f t="shared" si="1"/>
        <v>q4</v>
      </c>
      <c r="C28" s="1" t="s">
        <v>112</v>
      </c>
      <c r="D28" s="5" t="s">
        <v>69</v>
      </c>
      <c r="E28" s="6" t="s">
        <v>80</v>
      </c>
    </row>
    <row r="29" spans="1:5" x14ac:dyDescent="0.3">
      <c r="A29" s="1" t="s">
        <v>113</v>
      </c>
      <c r="B29" s="1" t="s">
        <v>58</v>
      </c>
      <c r="C29" s="1" t="s">
        <v>26</v>
      </c>
      <c r="D29" s="5" t="s">
        <v>70</v>
      </c>
      <c r="E29" s="6" t="s">
        <v>80</v>
      </c>
    </row>
    <row r="30" spans="1:5" x14ac:dyDescent="0.3">
      <c r="A30" s="1" t="str">
        <f t="shared" ref="A30:A33" si="2">A29</f>
        <v>How much capital was raised for this vehicle in 2018 from Institutional Investors by investor domicile? (millions)Please ensure that the total values provided match the values you entered in Q3</v>
      </c>
      <c r="B30" s="1" t="str">
        <f t="shared" ref="B30:B33" si="3">B29</f>
        <v>q5</v>
      </c>
      <c r="C30" s="1" t="s">
        <v>27</v>
      </c>
      <c r="D30" s="5" t="s">
        <v>71</v>
      </c>
      <c r="E30" s="6" t="s">
        <v>80</v>
      </c>
    </row>
    <row r="31" spans="1:5" x14ac:dyDescent="0.3">
      <c r="A31" s="1" t="str">
        <f t="shared" si="2"/>
        <v>How much capital was raised for this vehicle in 2018 from Institutional Investors by investor domicile? (millions)Please ensure that the total values provided match the values you entered in Q3</v>
      </c>
      <c r="B31" s="1" t="str">
        <f t="shared" si="3"/>
        <v>q5</v>
      </c>
      <c r="C31" s="1" t="s">
        <v>28</v>
      </c>
      <c r="D31" s="5" t="s">
        <v>72</v>
      </c>
      <c r="E31" s="6" t="s">
        <v>80</v>
      </c>
    </row>
    <row r="32" spans="1:5" x14ac:dyDescent="0.3">
      <c r="A32" s="1" t="str">
        <f t="shared" si="2"/>
        <v>How much capital was raised for this vehicle in 2018 from Institutional Investors by investor domicile? (millions)Please ensure that the total values provided match the values you entered in Q3</v>
      </c>
      <c r="B32" s="1" t="str">
        <f t="shared" si="3"/>
        <v>q5</v>
      </c>
      <c r="C32" s="1" t="s">
        <v>29</v>
      </c>
      <c r="D32" s="5" t="s">
        <v>73</v>
      </c>
      <c r="E32" s="6" t="s">
        <v>80</v>
      </c>
    </row>
    <row r="33" spans="1:5" x14ac:dyDescent="0.3">
      <c r="A33" s="1" t="str">
        <f t="shared" si="2"/>
        <v>How much capital was raised for this vehicle in 2018 from Institutional Investors by investor domicile? (millions)Please ensure that the total values provided match the values you entered in Q3</v>
      </c>
      <c r="B33" s="1" t="str">
        <f t="shared" si="3"/>
        <v>q5</v>
      </c>
      <c r="C33" s="1" t="s">
        <v>30</v>
      </c>
      <c r="D33" s="5" t="s">
        <v>74</v>
      </c>
      <c r="E33" s="6" t="s">
        <v>80</v>
      </c>
    </row>
    <row r="34" spans="1:5" x14ac:dyDescent="0.3">
      <c r="A34" s="1" t="s">
        <v>31</v>
      </c>
      <c r="B34" s="1" t="s">
        <v>59</v>
      </c>
      <c r="C34" s="1" t="s">
        <v>32</v>
      </c>
      <c r="D34" s="5" t="s">
        <v>75</v>
      </c>
      <c r="E34" s="6" t="s">
        <v>116</v>
      </c>
    </row>
    <row r="35" spans="1:5" x14ac:dyDescent="0.3">
      <c r="A35" s="1" t="str">
        <f t="shared" ref="A35:A37" si="4">A34</f>
        <v>What percentage of the total capital was raised via...?Total figure should sum up to 100%</v>
      </c>
      <c r="B35" s="1" t="str">
        <f t="shared" ref="B35:B37" si="5">B34</f>
        <v>q6</v>
      </c>
      <c r="C35" s="1" t="s">
        <v>33</v>
      </c>
      <c r="D35" s="5" t="s">
        <v>76</v>
      </c>
      <c r="E35" s="6" t="s">
        <v>116</v>
      </c>
    </row>
    <row r="36" spans="1:5" x14ac:dyDescent="0.3">
      <c r="A36" s="1" t="str">
        <f t="shared" si="4"/>
        <v>What percentage of the total capital was raised via...?Total figure should sum up to 100%</v>
      </c>
      <c r="B36" s="1" t="str">
        <f t="shared" si="5"/>
        <v>q6</v>
      </c>
      <c r="C36" s="1" t="s">
        <v>34</v>
      </c>
      <c r="D36" s="5" t="s">
        <v>77</v>
      </c>
      <c r="E36" s="6" t="s">
        <v>116</v>
      </c>
    </row>
    <row r="37" spans="1:5" x14ac:dyDescent="0.3">
      <c r="A37" s="1" t="str">
        <f t="shared" si="4"/>
        <v>What percentage of the total capital was raised via...?Total figure should sum up to 100%</v>
      </c>
      <c r="B37" s="1" t="str">
        <f t="shared" si="5"/>
        <v>q6</v>
      </c>
      <c r="C37" s="1" t="s">
        <v>35</v>
      </c>
      <c r="D37" s="5" t="s">
        <v>78</v>
      </c>
      <c r="E37" s="6" t="s">
        <v>116</v>
      </c>
    </row>
    <row r="38" spans="1:5" x14ac:dyDescent="0.3">
      <c r="A38" s="1" t="s">
        <v>36</v>
      </c>
      <c r="B38" s="1" t="s">
        <v>60</v>
      </c>
      <c r="C38" s="1" t="s">
        <v>12</v>
      </c>
      <c r="D38" s="5" t="s">
        <v>60</v>
      </c>
      <c r="E38" s="6" t="s">
        <v>79</v>
      </c>
    </row>
    <row r="39" spans="1:5" x14ac:dyDescent="0.3">
      <c r="A39" s="1" t="s">
        <v>37</v>
      </c>
      <c r="B39" s="1" t="s">
        <v>61</v>
      </c>
      <c r="C39" s="1" t="s">
        <v>12</v>
      </c>
      <c r="D39" s="5" t="s">
        <v>61</v>
      </c>
      <c r="E39" s="6" t="s">
        <v>79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27B5-4583-4BDC-82C0-EB7606958D19}">
  <sheetPr>
    <tabColor rgb="FF0070C0"/>
  </sheetPr>
  <dimension ref="A1:AM5"/>
  <sheetViews>
    <sheetView showGridLines="0" tabSelected="1" workbookViewId="0">
      <selection activeCell="B13" sqref="B13"/>
    </sheetView>
  </sheetViews>
  <sheetFormatPr defaultColWidth="9.109375" defaultRowHeight="13.2" x14ac:dyDescent="0.25"/>
  <cols>
    <col min="1" max="1" width="9.109375" style="7"/>
    <col min="2" max="2" width="13.109375" style="7" customWidth="1"/>
    <col min="3" max="3" width="13.33203125" style="7" customWidth="1"/>
    <col min="4" max="5" width="18.109375" style="7" bestFit="1" customWidth="1"/>
    <col min="6" max="6" width="20.21875" style="7" customWidth="1"/>
    <col min="7" max="10" width="9.109375" style="7"/>
    <col min="11" max="11" width="61.109375" style="7" bestFit="1" customWidth="1"/>
    <col min="12" max="15" width="13.21875" style="7" customWidth="1"/>
    <col min="16" max="16" width="17.33203125" style="7" customWidth="1"/>
    <col min="17" max="16384" width="9.109375" style="7"/>
  </cols>
  <sheetData>
    <row r="1" spans="1:39" ht="14.4" x14ac:dyDescent="0.3">
      <c r="A1" s="7" t="s">
        <v>123</v>
      </c>
      <c r="B1" t="s">
        <v>44</v>
      </c>
      <c r="C1" t="s">
        <v>43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122</v>
      </c>
      <c r="M1" t="s">
        <v>131</v>
      </c>
      <c r="N1" t="s">
        <v>136</v>
      </c>
      <c r="O1" t="s">
        <v>129</v>
      </c>
      <c r="P1" t="s">
        <v>130</v>
      </c>
      <c r="Q1" s="4" t="s">
        <v>53</v>
      </c>
      <c r="R1" s="4" t="s">
        <v>54</v>
      </c>
      <c r="S1" t="s">
        <v>55</v>
      </c>
      <c r="T1" s="4" t="s">
        <v>56</v>
      </c>
      <c r="U1" s="5" t="s">
        <v>62</v>
      </c>
      <c r="V1" s="5" t="s">
        <v>63</v>
      </c>
      <c r="W1" s="5" t="s">
        <v>64</v>
      </c>
      <c r="X1" s="5" t="s">
        <v>65</v>
      </c>
      <c r="Y1" s="5" t="s">
        <v>66</v>
      </c>
      <c r="Z1" s="5" t="s">
        <v>67</v>
      </c>
      <c r="AA1" s="5" t="s">
        <v>68</v>
      </c>
      <c r="AB1" s="5" t="s">
        <v>69</v>
      </c>
      <c r="AC1" s="5" t="s">
        <v>70</v>
      </c>
      <c r="AD1" s="5" t="s">
        <v>71</v>
      </c>
      <c r="AE1" s="5" t="s">
        <v>72</v>
      </c>
      <c r="AF1" s="5" t="s">
        <v>73</v>
      </c>
      <c r="AG1" s="5" t="s">
        <v>74</v>
      </c>
      <c r="AH1" s="5" t="s">
        <v>75</v>
      </c>
      <c r="AI1" s="5" t="s">
        <v>76</v>
      </c>
      <c r="AJ1" s="5" t="s">
        <v>77</v>
      </c>
      <c r="AK1" s="5" t="s">
        <v>78</v>
      </c>
      <c r="AL1" s="5" t="s">
        <v>60</v>
      </c>
      <c r="AM1" s="5" t="s">
        <v>61</v>
      </c>
    </row>
    <row r="2" spans="1:39" ht="14.4" x14ac:dyDescent="0.3">
      <c r="A2" s="7" t="s">
        <v>125</v>
      </c>
      <c r="B2" s="6">
        <v>11313126242</v>
      </c>
      <c r="C2" s="6">
        <v>252356092</v>
      </c>
      <c r="D2" s="8">
        <v>43861.595763888887</v>
      </c>
      <c r="E2" s="8">
        <v>43861.602384259262</v>
      </c>
      <c r="F2" s="6" t="s">
        <v>117</v>
      </c>
      <c r="G2" s="6"/>
      <c r="H2" s="6"/>
      <c r="I2" s="6"/>
      <c r="J2" s="6"/>
      <c r="K2" s="6" t="s">
        <v>118</v>
      </c>
      <c r="L2" s="6">
        <v>19570</v>
      </c>
      <c r="M2" s="6"/>
      <c r="N2" s="6"/>
      <c r="O2" s="6"/>
      <c r="P2" s="6"/>
      <c r="Q2" s="6" t="s">
        <v>83</v>
      </c>
      <c r="R2" s="6"/>
      <c r="S2" s="6"/>
      <c r="T2" s="6">
        <v>44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 t="s">
        <v>119</v>
      </c>
      <c r="AM2" s="6" t="s">
        <v>94</v>
      </c>
    </row>
    <row r="3" spans="1:39" ht="14.4" x14ac:dyDescent="0.3">
      <c r="A3" s="7" t="s">
        <v>125</v>
      </c>
      <c r="B3" s="6">
        <v>11309777072</v>
      </c>
      <c r="C3" s="6">
        <v>252356092</v>
      </c>
      <c r="D3" s="8">
        <v>43860.369629629633</v>
      </c>
      <c r="E3" s="8">
        <v>43860.376979166664</v>
      </c>
      <c r="F3" s="6" t="s">
        <v>117</v>
      </c>
      <c r="G3" s="6"/>
      <c r="H3" s="6"/>
      <c r="I3" s="6"/>
      <c r="J3" s="6"/>
      <c r="K3" s="6" t="s">
        <v>118</v>
      </c>
      <c r="L3" s="6">
        <v>19570</v>
      </c>
      <c r="M3" s="6"/>
      <c r="N3" s="6"/>
      <c r="O3" s="6"/>
      <c r="P3" s="6"/>
      <c r="Q3" s="6" t="s">
        <v>83</v>
      </c>
      <c r="R3" s="6"/>
      <c r="S3" s="6"/>
      <c r="T3" s="6">
        <v>252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:39" s="14" customFormat="1" ht="14.4" x14ac:dyDescent="0.3">
      <c r="A4" s="14" t="s">
        <v>125</v>
      </c>
      <c r="B4" s="12">
        <v>11301581901</v>
      </c>
      <c r="C4" s="12">
        <v>252356092</v>
      </c>
      <c r="D4" s="13">
        <v>43857.636388888888</v>
      </c>
      <c r="E4" s="13">
        <v>43857.642777777779</v>
      </c>
      <c r="F4" s="12" t="s">
        <v>114</v>
      </c>
      <c r="G4" s="12"/>
      <c r="H4" s="12"/>
      <c r="I4" s="12"/>
      <c r="J4" s="12"/>
      <c r="K4" s="12" t="s">
        <v>115</v>
      </c>
      <c r="L4" s="12">
        <v>19576</v>
      </c>
      <c r="M4" s="12"/>
      <c r="N4" s="12"/>
      <c r="O4" s="12"/>
      <c r="P4" s="12"/>
      <c r="Q4" s="12" t="s">
        <v>83</v>
      </c>
      <c r="R4" s="12"/>
      <c r="S4" s="12"/>
      <c r="T4" s="12">
        <v>264</v>
      </c>
      <c r="U4" s="12">
        <v>30200000</v>
      </c>
      <c r="V4" s="12">
        <v>18500000</v>
      </c>
      <c r="W4" s="12"/>
      <c r="X4" s="12"/>
      <c r="Y4" s="12">
        <v>7000000</v>
      </c>
      <c r="Z4" s="12">
        <v>31400000</v>
      </c>
      <c r="AA4" s="12"/>
      <c r="AB4" s="12">
        <v>176300000</v>
      </c>
      <c r="AC4" s="12">
        <v>263400000</v>
      </c>
      <c r="AD4" s="12"/>
      <c r="AE4" s="12"/>
      <c r="AF4" s="12"/>
      <c r="AG4" s="12"/>
      <c r="AH4" s="12"/>
      <c r="AI4" s="12"/>
      <c r="AJ4" s="12">
        <v>100</v>
      </c>
      <c r="AK4" s="12"/>
      <c r="AL4" s="12" t="s">
        <v>84</v>
      </c>
      <c r="AM4" s="12" t="s">
        <v>83</v>
      </c>
    </row>
    <row r="5" spans="1:39" ht="14.4" x14ac:dyDescent="0.3">
      <c r="A5" s="7" t="s">
        <v>125</v>
      </c>
      <c r="B5" s="6">
        <v>11272708420</v>
      </c>
      <c r="C5" s="6">
        <v>252356092</v>
      </c>
      <c r="D5" s="8">
        <v>43844.491898148146</v>
      </c>
      <c r="E5" s="8">
        <v>43847.471805555557</v>
      </c>
      <c r="F5" s="6" t="s">
        <v>114</v>
      </c>
      <c r="G5" s="6"/>
      <c r="H5" s="6"/>
      <c r="I5" s="6"/>
      <c r="J5" s="6"/>
      <c r="K5" s="6" t="s">
        <v>120</v>
      </c>
      <c r="L5" s="6">
        <v>19641</v>
      </c>
      <c r="M5" s="6"/>
      <c r="N5" s="6"/>
      <c r="O5" s="6"/>
      <c r="P5" s="6"/>
      <c r="Q5" s="6" t="s">
        <v>83</v>
      </c>
      <c r="R5" s="6"/>
      <c r="S5" s="6"/>
      <c r="T5" s="6">
        <v>100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 t="s">
        <v>84</v>
      </c>
      <c r="AM5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20" ma:contentTypeDescription="Create a new document." ma:contentTypeScope="" ma:versionID="1106c8468eaafddae308e8ae690256e5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510db6c088147b0ee1ad941e8ea23aee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A9FF5C-3230-4EB5-B46C-B873EC24A704}"/>
</file>

<file path=customXml/itemProps2.xml><?xml version="1.0" encoding="utf-8"?>
<ds:datastoreItem xmlns:ds="http://schemas.openxmlformats.org/officeDocument/2006/customXml" ds:itemID="{1BA25818-26BC-4CB8-9DE4-CDBE4E589C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B87A05-3B1F-4C8D-8737-ADEFB286367E}">
  <ds:schemaRefs>
    <ds:schemaRef ds:uri="http://schemas.microsoft.com/office/2006/metadata/properties"/>
    <ds:schemaRef ds:uri="http://schemas.microsoft.com/office/infopath/2007/PartnerControls"/>
    <ds:schemaRef ds:uri="61f97334-ae98-4ddf-87ee-81edeebb5d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df_headers</vt:lpstr>
      <vt:lpstr>df_edited_headers</vt:lpstr>
      <vt:lpstr>Sheet1</vt:lpstr>
      <vt:lpstr>fof_headers</vt:lpstr>
      <vt:lpstr>fof_edited_headers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Kalinaki</dc:creator>
  <cp:lastModifiedBy>Elizabeth Kalinaki</cp:lastModifiedBy>
  <dcterms:created xsi:type="dcterms:W3CDTF">2020-12-15T12:48:48Z</dcterms:created>
  <dcterms:modified xsi:type="dcterms:W3CDTF">2021-04-28T10:42:48Z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</Properties>
</file>